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updateLinks="always" codeName="ThisWorkbook"/>
  <mc:AlternateContent xmlns:mc="http://schemas.openxmlformats.org/markup-compatibility/2006">
    <mc:Choice Requires="x15">
      <x15ac:absPath xmlns:x15ac="http://schemas.microsoft.com/office/spreadsheetml/2010/11/ac" url="C:\Users\ADMIN\Documents\Zalo Received Files\"/>
    </mc:Choice>
  </mc:AlternateContent>
  <xr:revisionPtr revIDLastSave="0" documentId="13_ncr:1_{3F253DDF-7ED1-420D-8E65-1B405B0827B5}" xr6:coauthVersionLast="47" xr6:coauthVersionMax="47" xr10:uidLastSave="{00000000-0000-0000-0000-000000000000}"/>
  <bookViews>
    <workbookView xWindow="-108" yWindow="-108" windowWidth="23256" windowHeight="12576" xr2:uid="{00000000-000D-0000-FFFF-FFFF00000000}"/>
  </bookViews>
  <sheets>
    <sheet name="Danh sach" sheetId="1" r:id="rId1"/>
    <sheet name="Mau" sheetId="2" r:id="rId2"/>
    <sheet name="Mau Thang" sheetId="3" r:id="rId3"/>
    <sheet name="Data" sheetId="4" r:id="rId4"/>
    <sheet name="12.09" sheetId="11" r:id="rId5"/>
    <sheet name="11.09" sheetId="10" r:id="rId6"/>
    <sheet name="10.09" sheetId="8" r:id="rId7"/>
    <sheet name="06.09" sheetId="7" r:id="rId8"/>
    <sheet name="05.09" sheetId="6" r:id="rId9"/>
    <sheet name="04.09" sheetId="5" r:id="rId10"/>
  </sheets>
  <functionGroups builtInGroupCount="19"/>
  <definedNames>
    <definedName name="_xlnm._FilterDatabase" localSheetId="9" hidden="1">'04.09'!$B$10:$K$12</definedName>
    <definedName name="_xlnm._FilterDatabase" localSheetId="8" hidden="1">'05.09'!$B$10:$K$12</definedName>
    <definedName name="_xlnm._FilterDatabase" localSheetId="7" hidden="1">'06.09'!$B$10:$K$13</definedName>
    <definedName name="_xlnm._FilterDatabase" localSheetId="6" hidden="1">'10.09'!$B$10:$K$11</definedName>
    <definedName name="_xlnm._FilterDatabase" localSheetId="5" hidden="1">'11.09'!$B$10:$K$11</definedName>
    <definedName name="_xlnm._FilterDatabase" localSheetId="4" hidden="1">'12.09'!$B$10:$K$11</definedName>
    <definedName name="_xlnm._FilterDatabase" localSheetId="0" hidden="1">'Danh sach'!$C$10:$U$91</definedName>
    <definedName name="_xlnm._FilterDatabase" localSheetId="3" hidden="1">Data!$A$1:$G$646</definedName>
    <definedName name="_xlnm._FilterDatabase" localSheetId="1" hidden="1">Mau!$B$10:$K$10</definedName>
    <definedName name="_xlnm._FilterDatabase" localSheetId="2" hidden="1">'Mau Thang'!$C$8:$J$39</definedName>
    <definedName name="Customer">Data!$A$2:$B$146</definedName>
    <definedName name="_xlnm.Print_Area" localSheetId="2">'Mau Thang'!$B$2:$I$42</definedName>
    <definedName name="_xlnm.Print_Titles" localSheetId="9">'04.09'!$9:$10</definedName>
    <definedName name="_xlnm.Print_Titles" localSheetId="8">'05.09'!$9:$10</definedName>
    <definedName name="_xlnm.Print_Titles" localSheetId="7">'06.09'!$9:$10</definedName>
    <definedName name="_xlnm.Print_Titles" localSheetId="6">'10.09'!$9:$10</definedName>
    <definedName name="_xlnm.Print_Titles" localSheetId="5">'11.09'!$9:$10</definedName>
    <definedName name="_xlnm.Print_Titles" localSheetId="4">'12.09'!$9:$10</definedName>
    <definedName name="_xlnm.Print_Titles" localSheetId="1">Mau!$9:$10</definedName>
    <definedName name="_xlnm.Print_Titles" localSheetId="2">'Mau Thang'!$8:$8</definedName>
    <definedName name="Z_2960BB41_5800_4B85_8A4B_2FC0C5525F5C_.wvu.FilterData" localSheetId="0" hidden="1">'Danh sach'!$C$10:$U$91</definedName>
    <definedName name="Z_5AE1C13D_065F_4B23_8067_152F3203C6F4_.wvu.FilterData" localSheetId="0" hidden="1">'Danh sach'!$C$10:$U$91</definedName>
    <definedName name="Z_5C61B14A_E674_42C1_A492_C1003DD679FF_.wvu.FilterData" localSheetId="0" hidden="1">'Danh sach'!$C$10:$U$91</definedName>
    <definedName name="Z_98B02240_083D_48FB_929B_AEE0DA92ED1F_.wvu.FilterData" localSheetId="9" hidden="1">'04.09'!$B$10:$K$10</definedName>
    <definedName name="Z_98B02240_083D_48FB_929B_AEE0DA92ED1F_.wvu.FilterData" localSheetId="8" hidden="1">'05.09'!$B$10:$K$10</definedName>
    <definedName name="Z_98B02240_083D_48FB_929B_AEE0DA92ED1F_.wvu.FilterData" localSheetId="7" hidden="1">'06.09'!$B$10:$K$10</definedName>
    <definedName name="Z_98B02240_083D_48FB_929B_AEE0DA92ED1F_.wvu.FilterData" localSheetId="6" hidden="1">'10.09'!$B$10:$K$10</definedName>
    <definedName name="Z_98B02240_083D_48FB_929B_AEE0DA92ED1F_.wvu.FilterData" localSheetId="5" hidden="1">'11.09'!$B$10:$K$10</definedName>
    <definedName name="Z_98B02240_083D_48FB_929B_AEE0DA92ED1F_.wvu.FilterData" localSheetId="4" hidden="1">'12.09'!$B$10:$K$10</definedName>
    <definedName name="Z_98B02240_083D_48FB_929B_AEE0DA92ED1F_.wvu.FilterData" localSheetId="0" hidden="1">'Danh sach'!$C$10:$U$91</definedName>
    <definedName name="Z_98B02240_083D_48FB_929B_AEE0DA92ED1F_.wvu.FilterData" localSheetId="3" hidden="1">Data!$A$1:$B$64</definedName>
    <definedName name="Z_98B02240_083D_48FB_929B_AEE0DA92ED1F_.wvu.FilterData" localSheetId="1" hidden="1">Mau!$B$10:$K$10</definedName>
    <definedName name="Z_98B02240_083D_48FB_929B_AEE0DA92ED1F_.wvu.FilterData" localSheetId="2" hidden="1">'Mau Thang'!$C$8:$J$39</definedName>
    <definedName name="Z_98B02240_083D_48FB_929B_AEE0DA92ED1F_.wvu.PrintArea" localSheetId="2" hidden="1">'Mau Thang'!$B$2:$I$42</definedName>
    <definedName name="Z_98B02240_083D_48FB_929B_AEE0DA92ED1F_.wvu.PrintTitles" localSheetId="9" hidden="1">'04.09'!$9:$10</definedName>
    <definedName name="Z_98B02240_083D_48FB_929B_AEE0DA92ED1F_.wvu.PrintTitles" localSheetId="8" hidden="1">'05.09'!$9:$10</definedName>
    <definedName name="Z_98B02240_083D_48FB_929B_AEE0DA92ED1F_.wvu.PrintTitles" localSheetId="7" hidden="1">'06.09'!$9:$10</definedName>
    <definedName name="Z_98B02240_083D_48FB_929B_AEE0DA92ED1F_.wvu.PrintTitles" localSheetId="6" hidden="1">'10.09'!$9:$10</definedName>
    <definedName name="Z_98B02240_083D_48FB_929B_AEE0DA92ED1F_.wvu.PrintTitles" localSheetId="5" hidden="1">'11.09'!$9:$10</definedName>
    <definedName name="Z_98B02240_083D_48FB_929B_AEE0DA92ED1F_.wvu.PrintTitles" localSheetId="4" hidden="1">'12.09'!$9:$10</definedName>
    <definedName name="Z_98B02240_083D_48FB_929B_AEE0DA92ED1F_.wvu.PrintTitles" localSheetId="1" hidden="1">Mau!$9:$10</definedName>
    <definedName name="Z_98B02240_083D_48FB_929B_AEE0DA92ED1F_.wvu.PrintTitles" localSheetId="2" hidden="1">'Mau Thang'!$8:$8</definedName>
    <definedName name="Z_B941C6C5_A98F_4F29_9C81_D27819BD6400_.wvu.FilterData" localSheetId="0" hidden="1">'Danh sach'!$C$10:$U$10</definedName>
  </definedNames>
  <calcPr calcId="181029"/>
  <customWorkbookViews>
    <customWorkbookView name="Tran Hung Thang - Personal View" guid="{98B02240-083D-48FB-929B-AEE0DA92ED1F}" autoUpdate="1" mergeInterval="5" personalView="1" maximized="1" xWindow="-8" yWindow="-8" windowWidth="1296" windowHeight="100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3" i="2" l="1"/>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B12" i="2"/>
  <c r="F12" i="2" s="1"/>
  <c r="B13" i="2"/>
  <c r="F13" i="2" s="1"/>
  <c r="B14" i="2"/>
  <c r="F14" i="2" s="1"/>
  <c r="B15" i="2"/>
  <c r="F15" i="2" s="1"/>
  <c r="B16" i="2"/>
  <c r="F16" i="2" s="1"/>
  <c r="B17" i="2"/>
  <c r="F17" i="2" s="1"/>
  <c r="B18" i="2"/>
  <c r="F18" i="2" s="1"/>
  <c r="B19" i="2"/>
  <c r="F19" i="2" s="1"/>
  <c r="B20" i="2"/>
  <c r="F20" i="2" s="1"/>
  <c r="B21" i="2"/>
  <c r="F21" i="2" s="1"/>
  <c r="B22" i="2"/>
  <c r="F22" i="2" s="1"/>
  <c r="B23" i="2"/>
  <c r="F23" i="2" s="1"/>
  <c r="B24" i="2"/>
  <c r="F24" i="2" s="1"/>
  <c r="B25" i="2"/>
  <c r="F25" i="2" s="1"/>
  <c r="B26" i="2"/>
  <c r="F26" i="2" s="1"/>
  <c r="B27" i="2"/>
  <c r="F27" i="2" s="1"/>
  <c r="B28" i="2"/>
  <c r="F28" i="2" s="1"/>
  <c r="B29" i="2"/>
  <c r="F29" i="2" s="1"/>
  <c r="B30" i="2"/>
  <c r="F30" i="2" s="1"/>
  <c r="B31" i="2"/>
  <c r="F31" i="2" s="1"/>
  <c r="B32" i="2"/>
  <c r="F32" i="2" s="1"/>
  <c r="B33" i="2"/>
  <c r="F33" i="2" s="1"/>
  <c r="B34" i="2"/>
  <c r="F34" i="2" s="1"/>
  <c r="B35" i="2"/>
  <c r="F35" i="2" s="1"/>
  <c r="B36" i="2"/>
  <c r="F36" i="2" s="1"/>
  <c r="B37" i="2"/>
  <c r="F37" i="2" s="1"/>
  <c r="B38" i="2"/>
  <c r="F38" i="2" s="1"/>
  <c r="B39" i="2"/>
  <c r="F39" i="2" s="1"/>
  <c r="B40" i="2"/>
  <c r="F40" i="2" s="1"/>
  <c r="B41" i="2"/>
  <c r="F41" i="2" s="1"/>
  <c r="B42" i="2"/>
  <c r="F42" i="2" s="1"/>
  <c r="B43" i="2"/>
  <c r="F43" i="2" s="1"/>
  <c r="B44" i="2"/>
  <c r="F44" i="2" s="1"/>
  <c r="B45" i="2"/>
  <c r="F45" i="2" s="1"/>
  <c r="B46" i="2"/>
  <c r="F46" i="2" s="1"/>
  <c r="B47" i="2"/>
  <c r="F47" i="2" s="1"/>
  <c r="B48" i="2"/>
  <c r="F48" i="2" s="1"/>
  <c r="B49" i="2"/>
  <c r="F49" i="2" s="1"/>
  <c r="B50" i="2"/>
  <c r="F50" i="2" s="1"/>
  <c r="B51" i="2"/>
  <c r="F51" i="2" s="1"/>
  <c r="B52" i="2"/>
  <c r="F52" i="2" s="1"/>
  <c r="B53" i="2"/>
  <c r="F53" i="2" s="1"/>
  <c r="B54" i="2"/>
  <c r="F54" i="2" s="1"/>
  <c r="B55" i="2"/>
  <c r="F55" i="2" s="1"/>
  <c r="B56" i="2"/>
  <c r="F56" i="2" s="1"/>
  <c r="B57" i="2"/>
  <c r="F57" i="2" s="1"/>
  <c r="B58" i="2"/>
  <c r="F58" i="2" s="1"/>
  <c r="B59" i="2"/>
  <c r="F59" i="2" s="1"/>
  <c r="B60" i="2"/>
  <c r="F60" i="2" s="1"/>
  <c r="B61" i="2"/>
  <c r="F61" i="2" s="1"/>
  <c r="B62" i="2"/>
  <c r="F62" i="2" s="1"/>
  <c r="B63" i="2"/>
  <c r="F63" i="2" s="1"/>
  <c r="B64" i="2"/>
  <c r="F64" i="2" s="1"/>
  <c r="B65" i="2"/>
  <c r="F65" i="2" s="1"/>
  <c r="B66" i="2"/>
  <c r="F66" i="2" s="1"/>
  <c r="B67" i="2"/>
  <c r="F67" i="2" s="1"/>
  <c r="B68" i="2"/>
  <c r="F68" i="2" s="1"/>
  <c r="B69" i="2"/>
  <c r="F69" i="2" s="1"/>
  <c r="B70" i="2"/>
  <c r="F70" i="2" s="1"/>
  <c r="B71" i="2"/>
  <c r="F71" i="2" s="1"/>
  <c r="B72" i="2"/>
  <c r="F72" i="2" s="1"/>
  <c r="B73" i="2"/>
  <c r="F73" i="2" s="1"/>
  <c r="B74" i="2"/>
  <c r="F74" i="2" s="1"/>
  <c r="B75" i="2"/>
  <c r="F75" i="2" s="1"/>
  <c r="B76" i="2"/>
  <c r="F76" i="2" s="1"/>
  <c r="B77" i="2"/>
  <c r="F77" i="2" s="1"/>
  <c r="B78" i="2"/>
  <c r="F78" i="2" s="1"/>
  <c r="B79" i="2"/>
  <c r="F79" i="2" s="1"/>
  <c r="B80" i="2"/>
  <c r="F80" i="2" s="1"/>
  <c r="B81" i="2"/>
  <c r="F81" i="2" s="1"/>
  <c r="B82" i="2"/>
  <c r="F82" i="2" s="1"/>
  <c r="B83" i="2"/>
  <c r="F83" i="2" s="1"/>
  <c r="B84" i="2"/>
  <c r="F84" i="2" s="1"/>
  <c r="B85" i="2"/>
  <c r="F85" i="2" s="1"/>
  <c r="B86" i="2"/>
  <c r="F86" i="2" s="1"/>
  <c r="B87" i="2"/>
  <c r="F87" i="2" s="1"/>
  <c r="B88" i="2"/>
  <c r="F88" i="2" s="1"/>
  <c r="B89" i="2"/>
  <c r="F89" i="2" s="1"/>
  <c r="B90" i="2"/>
  <c r="F90" i="2" s="1"/>
  <c r="B11" i="2"/>
  <c r="F11" i="2" s="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G11" i="1"/>
  <c r="E11" i="1"/>
  <c r="E15" i="2" l="1"/>
  <c r="E14" i="2"/>
  <c r="E12" i="2"/>
  <c r="E11" i="2"/>
  <c r="H6" i="3" l="1"/>
  <c r="C39" i="3" s="1"/>
  <c r="E91" i="2"/>
  <c r="I7" i="2"/>
  <c r="T9" i="1"/>
  <c r="S9" i="1"/>
  <c r="E8" i="1"/>
  <c r="C9" i="3" l="1"/>
  <c r="C16" i="3"/>
  <c r="C24" i="3"/>
  <c r="C32" i="3"/>
  <c r="J9" i="3"/>
  <c r="C17" i="3"/>
  <c r="C25" i="3"/>
  <c r="C33" i="3"/>
  <c r="C12" i="3"/>
  <c r="C20" i="3"/>
  <c r="C28" i="3"/>
  <c r="C36" i="3"/>
  <c r="C13" i="3"/>
  <c r="C21" i="3"/>
  <c r="C29" i="3"/>
  <c r="C37" i="3"/>
  <c r="C10" i="3"/>
  <c r="C14" i="3"/>
  <c r="C18" i="3"/>
  <c r="C22" i="3"/>
  <c r="C26" i="3"/>
  <c r="C30" i="3"/>
  <c r="C34" i="3"/>
  <c r="C38" i="3"/>
  <c r="C11" i="3"/>
  <c r="C15" i="3"/>
  <c r="C19" i="3"/>
  <c r="C23" i="3"/>
  <c r="C27" i="3"/>
  <c r="C31" i="3"/>
  <c r="C3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Nguyen Thi Phan</author>
  </authors>
  <commentList>
    <comment ref="A1" authorId="0" shapeId="0" xr:uid="{00000000-0006-0000-0000-000001000000}">
      <text>
        <r>
          <rPr>
            <b/>
            <sz val="9"/>
            <color indexed="81"/>
            <rFont val="Tahoma"/>
            <family val="2"/>
          </rPr>
          <t>Nguyen Thi Phan:</t>
        </r>
        <r>
          <rPr>
            <sz val="9"/>
            <color indexed="81"/>
            <rFont val="Tahoma"/>
            <family val="2"/>
          </rPr>
          <t xml:space="preserve">
lập công thức đếm số lần theo mã khách hàng</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Page001" description="Connection to the 'Page001' query in the workbook." type="5" refreshedVersion="0" background="1">
    <dbPr connection="Provider=Microsoft.Mashup.OleDb.1;Data Source=$Workbook$;Location=Page001;Extended Properties=&quot;&quot;" command="SELECT * FROM [Page001]"/>
  </connection>
  <connection id="2" xr16:uid="{00000000-0015-0000-FFFF-FFFF01000000}" keepAlive="1" name="Query - Page001 (2)" description="Connection to the 'Page001 (2)' query in the workbook." type="5" refreshedVersion="0" background="1">
    <dbPr connection="Provider=Microsoft.Mashup.OleDb.1;Data Source=$Workbook$;Location=&quot;Page001 (2)&quot;;Extended Properties=&quot;&quot;" command="SELECT * FROM [Page001 (2)]"/>
  </connection>
  <connection id="3" xr16:uid="{00000000-0015-0000-FFFF-FFFF02000000}" keepAlive="1" name="Query - Page002" description="Connection to the 'Page002' query in the workbook." type="5" refreshedVersion="0" background="1">
    <dbPr connection="Provider=Microsoft.Mashup.OleDb.1;Data Source=$Workbook$;Location=Page002;Extended Properties=&quot;&quot;" command="SELECT * FROM [Page002]"/>
  </connection>
</connections>
</file>

<file path=xl/sharedStrings.xml><?xml version="1.0" encoding="utf-8"?>
<sst xmlns="http://schemas.openxmlformats.org/spreadsheetml/2006/main" count="1728" uniqueCount="1209">
  <si>
    <t>Form 2</t>
  </si>
  <si>
    <t>DANH SÁCH THEO DÕI KHÁCH HÀNG GIA HẠN NỢ QUÁ HẠN</t>
  </si>
  <si>
    <t>LIST OF CUSTOMERS HAVE BEEN EXTENDED OVERDUE</t>
  </si>
  <si>
    <t>Overdue</t>
  </si>
  <si>
    <t>Request</t>
  </si>
  <si>
    <t>New SO</t>
  </si>
  <si>
    <t>Form/Mail</t>
  </si>
  <si>
    <r>
      <t xml:space="preserve">No Mẫu số : </t>
    </r>
    <r>
      <rPr>
        <b/>
        <i/>
        <sz val="11"/>
        <color theme="1"/>
        <rFont val="Times New Roman"/>
        <family val="1"/>
      </rPr>
      <t xml:space="preserve">DAV--07-001 (A) </t>
    </r>
  </si>
  <si>
    <r>
      <t xml:space="preserve">Danh sách này được cập nhật hàng ngày và tổng hợp số liệu theo tháng 
</t>
    </r>
    <r>
      <rPr>
        <i/>
        <sz val="11"/>
        <color theme="1"/>
        <rFont val="Times New Roman"/>
        <family val="1"/>
      </rPr>
      <t>This list must be updated daily and summary by month</t>
    </r>
  </si>
  <si>
    <r>
      <rPr>
        <sz val="11"/>
        <color theme="1"/>
        <rFont val="Times New Roman"/>
        <family val="1"/>
      </rPr>
      <t>Số lần gia hạn overdue chỉ tính cộng dồn theo tháng hiện tại</t>
    </r>
    <r>
      <rPr>
        <i/>
        <sz val="11"/>
        <color theme="1"/>
        <rFont val="Times New Roman"/>
        <family val="1"/>
      </rPr>
      <t xml:space="preserve">
Number of times extending overdue is accumulated for current month only</t>
    </r>
  </si>
  <si>
    <t>Form 3</t>
  </si>
  <si>
    <t xml:space="preserve"> XÁC NHẬN KIỂM TRA TRẠNG THÁI GIA HẠN NỢ QUÁ HẠN</t>
  </si>
  <si>
    <t>CONFIRMATION OF CHECKING EXTENTED OVERDUE STATUS</t>
  </si>
  <si>
    <t>Mã khách hàng</t>
  </si>
  <si>
    <t>Customer code</t>
  </si>
  <si>
    <t>Tên khách hàng</t>
  </si>
  <si>
    <t>Customer name</t>
  </si>
  <si>
    <t>Tình trạng</t>
  </si>
  <si>
    <t>Status</t>
  </si>
  <si>
    <t>Người phê duyệt</t>
  </si>
  <si>
    <t>Approved by</t>
  </si>
  <si>
    <t>Người kiểm tra</t>
  </si>
  <si>
    <t>Checked by</t>
  </si>
  <si>
    <t>Trần Ngọc Điệp</t>
  </si>
  <si>
    <t>Trần Hùng Thăng</t>
  </si>
  <si>
    <t>Từ ngày</t>
  </si>
  <si>
    <t>Đến ngày</t>
  </si>
  <si>
    <t>Mở due</t>
  </si>
  <si>
    <r>
      <t xml:space="preserve">No </t>
    </r>
    <r>
      <rPr>
        <i/>
        <sz val="11"/>
        <color rgb="FF0000FF"/>
        <rFont val="Times New Roman"/>
        <family val="1"/>
      </rPr>
      <t xml:space="preserve">Mẫu số; </t>
    </r>
    <r>
      <rPr>
        <b/>
        <i/>
        <sz val="11"/>
        <color rgb="FF000000"/>
        <rFont val="Times New Roman"/>
        <family val="1"/>
      </rPr>
      <t xml:space="preserve">DAV-07-001 (A) </t>
    </r>
  </si>
  <si>
    <t>Manager</t>
  </si>
  <si>
    <t>Notes</t>
  </si>
  <si>
    <t>EO</t>
  </si>
  <si>
    <r>
      <t xml:space="preserve">Ngày
</t>
    </r>
    <r>
      <rPr>
        <b/>
        <i/>
        <sz val="11"/>
        <color rgb="FF0000FF"/>
        <rFont val="Times New Roman"/>
        <family val="1"/>
      </rPr>
      <t>Date</t>
    </r>
  </si>
  <si>
    <r>
      <t xml:space="preserve">Mã khách hàng
</t>
    </r>
    <r>
      <rPr>
        <b/>
        <i/>
        <sz val="11"/>
        <color rgb="FF0000FF"/>
        <rFont val="Times New Roman"/>
        <family val="1"/>
      </rPr>
      <t>Customer code</t>
    </r>
  </si>
  <si>
    <r>
      <t xml:space="preserve">Tên khách hàng
</t>
    </r>
    <r>
      <rPr>
        <b/>
        <i/>
        <sz val="11"/>
        <color rgb="FF0000FF"/>
        <rFont val="Times New Roman"/>
        <family val="1"/>
      </rPr>
      <t>Customer name</t>
    </r>
  </si>
  <si>
    <r>
      <t xml:space="preserve">Số tiền nợ quá hạn
</t>
    </r>
    <r>
      <rPr>
        <b/>
        <i/>
        <sz val="11"/>
        <color rgb="FF0000FF"/>
        <rFont val="Times New Roman"/>
        <family val="1"/>
      </rPr>
      <t>Overdue amount</t>
    </r>
    <r>
      <rPr>
        <b/>
        <i/>
        <sz val="11"/>
        <color theme="1"/>
        <rFont val="Times New Roman"/>
        <family val="1"/>
      </rPr>
      <t xml:space="preserve"> </t>
    </r>
  </si>
  <si>
    <r>
      <t xml:space="preserve">Số lần gia hạn overdue trong tháng
</t>
    </r>
    <r>
      <rPr>
        <b/>
        <i/>
        <sz val="11"/>
        <color rgb="FF0000FF"/>
        <rFont val="Times New Roman"/>
        <family val="1"/>
      </rPr>
      <t>No of times extending overdue in month</t>
    </r>
  </si>
  <si>
    <r>
      <t xml:space="preserve">Người lập biểu
</t>
    </r>
    <r>
      <rPr>
        <b/>
        <i/>
        <sz val="11"/>
        <color rgb="FF0000FF"/>
        <rFont val="Times New Roman"/>
        <family val="1"/>
      </rPr>
      <t>Prepared by</t>
    </r>
  </si>
  <si>
    <r>
      <t xml:space="preserve">Ghi chú/ </t>
    </r>
    <r>
      <rPr>
        <b/>
        <i/>
        <u/>
        <sz val="11"/>
        <color rgb="FF0000FF"/>
        <rFont val="Times New Roman"/>
        <family val="1"/>
      </rPr>
      <t>Noted.</t>
    </r>
  </si>
  <si>
    <t>Any extending due date cases which do not change the status to "Check and Stop" must write down the customer code and reason</t>
  </si>
  <si>
    <t>Đối với các trường hợp gia hạn nợ quá hạn dài ngày, cuối ngày không chuyển về trạng thái "check and stop" thì phải ghi rõ mã khách hàng và lý do</t>
  </si>
  <si>
    <t>C150079</t>
  </si>
  <si>
    <t>Công ty Cổ Phần Thế Giới Di Động</t>
  </si>
  <si>
    <t xml:space="preserve">
</t>
  </si>
  <si>
    <t>CÔNG TY TNHH CAO PHONG</t>
  </si>
  <si>
    <t>Công ty TNHH Thương Mại - Dịch Vụ - Kỹ Thuật Thành Long</t>
  </si>
  <si>
    <t>C120253</t>
  </si>
  <si>
    <t>C110731</t>
  </si>
  <si>
    <t>Công Ty Cổ Phần Cơ Điện Lạnh Đông Sa Pa</t>
  </si>
  <si>
    <t>C110010</t>
  </si>
  <si>
    <t>Công ty TNHH Kurihara Việt Nam</t>
  </si>
  <si>
    <t>Dang Doan Khanh Linh</t>
  </si>
  <si>
    <t>Nguyen Thi Thuy &lt;thuy.nguyen@daikin.com.vn&gt;</t>
  </si>
  <si>
    <t>CÔNG TY TNHH THƯƠNG MẠI DỊCH VỤ XUẤT NHẬP KHẤU QUẢNG DƯƠNG</t>
  </si>
  <si>
    <t>C131009</t>
  </si>
  <si>
    <t>Ho Xuan Vien</t>
  </si>
  <si>
    <t>C120336</t>
  </si>
  <si>
    <t>Công ty TNHH Một Thành Viên Tín Phong</t>
  </si>
  <si>
    <t>C110817</t>
  </si>
  <si>
    <t>Công Ty TNHH TM Gia Thành</t>
  </si>
  <si>
    <t xml:space="preserve">Công ty TNHH Thái Trung </t>
  </si>
  <si>
    <t>C140464</t>
  </si>
  <si>
    <t>Công Ty TNHH Thương Mại Đức Anh Mỹ</t>
  </si>
  <si>
    <t>C110333</t>
  </si>
  <si>
    <t>Công Ty TNHH Thương mại &amp; Dịch vụ Nhiệt Xanh</t>
  </si>
  <si>
    <t>C200713</t>
  </si>
  <si>
    <t>CÔNG TY CỔ PHẦN THƯƠNG MẠI DỊCH VỤ VẬN TẢI XÂY DỰNG 121</t>
  </si>
  <si>
    <t>C182610</t>
  </si>
  <si>
    <t>CÔNG TY TNHH DV VÀ TM CƠ ĐIỆN LẠNH QUỐC HUY</t>
  </si>
  <si>
    <t>C180728</t>
  </si>
  <si>
    <t>C111657</t>
  </si>
  <si>
    <t>CÔNG TY TNHH THƯƠNG MẠI DỊCH VỤ KỸ THUẬT ĐIỆN LẠNH ÁNH HỒNG</t>
  </si>
  <si>
    <t>C220549</t>
  </si>
  <si>
    <t>BỆNH VIỆN QUÂN Y 175</t>
  </si>
  <si>
    <t>C110117</t>
  </si>
  <si>
    <t>CÔNG TY TNHH GARDEN PLAZA</t>
  </si>
  <si>
    <t>C110316</t>
  </si>
  <si>
    <t>Công ty TNHH kỹ thuật Phú Vĩnh An</t>
  </si>
  <si>
    <t>C210397</t>
  </si>
  <si>
    <t>CÔNG TY TNHH KỸ THUẬT LẠNH NAM SA PA</t>
  </si>
  <si>
    <t>C111544</t>
  </si>
  <si>
    <t>Công Ty Cổ Phần Thương Mại Xuất Nhập Khẩu Nam SaPa</t>
  </si>
  <si>
    <t>CÔNG TY TNHH HỒNG LỢI NAM</t>
  </si>
  <si>
    <t>Công ty Cổ Phần Điện Máy R.E.E</t>
  </si>
  <si>
    <t>Công ty TNHH Lâm Quang Đại</t>
  </si>
  <si>
    <t>Công ty TNHH Kỹ Thuật Cơ Điện Lạnh và Xây Dựng BNB</t>
  </si>
  <si>
    <t>C110283</t>
  </si>
  <si>
    <t>CÔNG TY TNHH TRUNG LỘC</t>
  </si>
  <si>
    <t>Công ty TNHH Kỹ thuật Nhật Sáng</t>
  </si>
  <si>
    <t>C220773</t>
  </si>
  <si>
    <t>CÔNG TY TNHH ĐIỆN LẠNH CPL</t>
  </si>
  <si>
    <t>C220034</t>
  </si>
  <si>
    <t>CÔNG TY TNHH SẢN XUẤT TẬP ĐOÀN ĐẠI VIỆT</t>
  </si>
  <si>
    <t>CÔNG TY TNHH THƯƠNG MẠI DỊCH VỤ ĐIỆN LẠNH TÂM ĐỨC</t>
  </si>
  <si>
    <t>C110203</t>
  </si>
  <si>
    <t>Công ty TNHH Cơ điện lạnh Đại Thắng</t>
  </si>
  <si>
    <t>C201801</t>
  </si>
  <si>
    <t>CÔNG TY TNHH THƯƠNG MẠI DỊCH VỤ COTER COLD</t>
  </si>
  <si>
    <t>C130962</t>
  </si>
  <si>
    <t>CÔNG TY TNHH XÂY DỰNG-THƯƠNG MẠI-ĐIỆN-ĐIỆN LẠNH VIỆT PHÁT</t>
  </si>
  <si>
    <t>C181837</t>
  </si>
  <si>
    <t>Công Ty TNHH Điện Máy Gia Khang</t>
  </si>
  <si>
    <t>C191687</t>
  </si>
  <si>
    <t>CÔNG TY CỔ PHẦN TẬP ĐOÀN HƯNG THỊNH</t>
  </si>
  <si>
    <t>C110206</t>
  </si>
  <si>
    <t>C210745</t>
  </si>
  <si>
    <t>CÔNG TY TNHH CZ SLOVAKIA VIỆT NAM</t>
  </si>
  <si>
    <t>C111797</t>
  </si>
  <si>
    <t>Công ty TNHH MTV TM DV Phú Thịnh Hưng</t>
  </si>
  <si>
    <t>C110146</t>
  </si>
  <si>
    <t>Công ty CP TMDV Thiên Nam Hòa</t>
  </si>
  <si>
    <t>C182885</t>
  </si>
  <si>
    <t>CÔNG TY TNHH THƯƠNG MẠI VÀ DỊCH VỤ CƠ ĐIỆN LẠNH  SƠN HÀ</t>
  </si>
  <si>
    <t>C221503</t>
  </si>
  <si>
    <t>CÔNG TY TNHH COOL MỸ KIẾN ANH</t>
  </si>
  <si>
    <t>C170490</t>
  </si>
  <si>
    <t>Công ty TNHH TM DV Kỹ thuật Công nghệ Nhiệt lạnh Nasan</t>
  </si>
  <si>
    <t>C171541</t>
  </si>
  <si>
    <t>CÔNG TY TRÁCH NHIỆM HỮU HẠN PIZZA VIỆT NAM</t>
  </si>
  <si>
    <t>C161419</t>
  </si>
  <si>
    <t>Công Ty Cổ Phần BKE</t>
  </si>
  <si>
    <t>C120183</t>
  </si>
  <si>
    <t>Công ty TNHH điện lạnh Thái Nguyên</t>
  </si>
  <si>
    <t>C110334</t>
  </si>
  <si>
    <t>Công ty TNHH Chính Vinh Phát</t>
  </si>
  <si>
    <t>C151036</t>
  </si>
  <si>
    <t>CÔNG TY TNHH DỊCH VỤ NAVA</t>
  </si>
  <si>
    <t>C110142</t>
  </si>
  <si>
    <t>Công ty Cổ phần Thương mại Nguyễn Kim</t>
  </si>
  <si>
    <t>CÔNG TY TNHH CƠ ĐIỆN LẠNH VẠN AN PHÁT</t>
  </si>
  <si>
    <t>C180589</t>
  </si>
  <si>
    <t>CÔNG TY TNHH MTV HỘI NHẬP PHÁT TRIỂN ĐÔNG HƯNG</t>
  </si>
  <si>
    <t>C110266</t>
  </si>
  <si>
    <t>CÔNG TY TNHH THƯƠNG MẠI ĐIỆN MÁY ANH SƠN</t>
  </si>
  <si>
    <t>C111203</t>
  </si>
  <si>
    <t>Công ty TNHH Dịch Vụ kỹ thuật và thương mại Thái Sơn</t>
  </si>
  <si>
    <t>C131361</t>
  </si>
  <si>
    <t>C180398</t>
  </si>
  <si>
    <t>CÔNG TY CỔ PHẦN XÂY DỰNG CENTRAL</t>
  </si>
  <si>
    <t>C220712</t>
  </si>
  <si>
    <t>CÔNG TY TNHH ĐIỆN MÁY ĐẠI ĐẠI LỢI</t>
  </si>
  <si>
    <t>Nguyen Quoc Luan</t>
  </si>
  <si>
    <t>C120228</t>
  </si>
  <si>
    <t>Công ty TNHH Điện Lạnh Nguyễn Hoàng Thanh</t>
  </si>
  <si>
    <t>C110258</t>
  </si>
  <si>
    <t>Công ty TNHH TM DV Việt Tiên Phong</t>
  </si>
  <si>
    <t>C110157</t>
  </si>
  <si>
    <t>CÔNG TY CỔ PHẦN THUTHIEMGROUP</t>
  </si>
  <si>
    <t>C220057</t>
  </si>
  <si>
    <t xml:space="preserve">CÔNG TY TNHH TM &amp; DV ĐIỀU HÒA HOÀNG SƠN </t>
  </si>
  <si>
    <t>C110956</t>
  </si>
  <si>
    <t>CÔNG TY CỔ PHẦN SAVA M.E</t>
  </si>
  <si>
    <t>Nguyen Hoang Duong</t>
  </si>
  <si>
    <t>C111730</t>
  </si>
  <si>
    <t>Công ty TNHH Thương Mại và Dịch Vụ Linh</t>
  </si>
  <si>
    <t>C162598</t>
  </si>
  <si>
    <t>BÁO PHỤ NỮ TP.HCM</t>
  </si>
  <si>
    <t>Nguyen Van The</t>
  </si>
  <si>
    <t>Nguyen The Manh</t>
  </si>
  <si>
    <t>Le Thi Thu; Ngo Long Hau</t>
  </si>
  <si>
    <t>Pham Hoang Anh</t>
  </si>
  <si>
    <t>C221604</t>
  </si>
  <si>
    <t>CÔNG TY CỔ PHẦN CƠ ĐIỆN TITAN</t>
  </si>
  <si>
    <t>Công Ty Trách Nhiệm Hữu Hạn Thương Mại Và Dịch Vụ Cơ Điện - Nhiệt Lạnh Việt Nam</t>
  </si>
  <si>
    <t>Nguyen Thi Thuy Hang S3A &lt;thuyhang.nguyen1@daikin.com.vn&gt;</t>
  </si>
  <si>
    <t>Tran Xuan Phuc &lt;xuanphuc.tran@daikin.com.vn&gt;</t>
  </si>
  <si>
    <t>CÔNG TY TNHH TƯ VẤN THIẾT KẾ XÂY DỰNG PHƯỚC TRƯỜNG AN</t>
  </si>
  <si>
    <t>Nguyen Huu Luan</t>
  </si>
  <si>
    <t>Vu Hoang Minh</t>
  </si>
  <si>
    <t>Requester</t>
  </si>
  <si>
    <t>Nguyen Thi Trang Z3M &lt;trang.nguyen2@daikin.com.vn&gt;</t>
  </si>
  <si>
    <t>Truong Thi Ngoc Thue</t>
  </si>
  <si>
    <t>Huynh Anh Duy</t>
  </si>
  <si>
    <t>C110318</t>
  </si>
  <si>
    <t>C170702</t>
  </si>
  <si>
    <t>C191945</t>
  </si>
  <si>
    <t>C191851</t>
  </si>
  <si>
    <t>C120985</t>
  </si>
  <si>
    <t>Ho Thi Thanh Xuan</t>
  </si>
  <si>
    <t>Nguyen Hoang Dung; To Van Binh</t>
  </si>
  <si>
    <t>Le Thanh Hien</t>
  </si>
  <si>
    <t>Dinh Thi Nhuan</t>
  </si>
  <si>
    <t>Do Phi Hung &lt;phihung.do@daikin.com.vn&gt;</t>
  </si>
  <si>
    <t>Pham Van Nhan</t>
  </si>
  <si>
    <t>Thai Van Ly</t>
  </si>
  <si>
    <t>C162243</t>
  </si>
  <si>
    <t>Nguyen Thu Trang N3S &lt;thutrang.nguyen2@daikin.com.vn&gt;</t>
  </si>
  <si>
    <t>Nguyen Kim Luong</t>
  </si>
  <si>
    <t>Công Ty TNHH Kỹ Thuật Cơ Nhiệt Lạnh Bình Minh</t>
  </si>
  <si>
    <t>C192442</t>
  </si>
  <si>
    <t>CÔNG TY TNHH CUNG ỨNG HÀNG HÓA PHƯƠNG NAM</t>
  </si>
  <si>
    <t>C110259</t>
  </si>
  <si>
    <t>Công ty TNHH TM Vy Loan</t>
  </si>
  <si>
    <t>C181745</t>
  </si>
  <si>
    <t>Ngo Nguyet Hang</t>
  </si>
  <si>
    <t>Ngân hàng Thương mại Cổ phần Quốc tế Việt Nam</t>
  </si>
  <si>
    <t>C200889</t>
  </si>
  <si>
    <t>Tran Vu Ky</t>
  </si>
  <si>
    <t>Pham Le Man</t>
  </si>
  <si>
    <t>CN TỔNG CÔNG TY CƠ KHÍ GTVT SÀI GÒN - TNHH MTV - XÍ NGHIỆP Ô TÔ TOYOTA - BẾN THÀNH</t>
  </si>
  <si>
    <t>C141733</t>
  </si>
  <si>
    <t>Công ty TNHH  Dịch vụ Thương mại Cơ Điện Lạnh Thuận Phát</t>
  </si>
  <si>
    <t>Huynh Anh Khoa</t>
  </si>
  <si>
    <t>C211191</t>
  </si>
  <si>
    <t>Nguyen Nhat Tan</t>
  </si>
  <si>
    <t>CÔNG TY CỔ PHẦN ĐẦU TƯ XÂY DỰNG SOL E&amp;C</t>
  </si>
  <si>
    <t>C180505</t>
  </si>
  <si>
    <t>CÔNG TY TNHH THƯƠNG MẠI DỊCH VỤ CÔNG NGHỆ NGÔ GIA</t>
  </si>
  <si>
    <t>Vo Dang Thi Anh</t>
  </si>
  <si>
    <t>Huynh Tuan An</t>
  </si>
  <si>
    <t>C110312</t>
  </si>
  <si>
    <t>Bui Van Linh</t>
  </si>
  <si>
    <t>Nguyen Quoc Bao</t>
  </si>
  <si>
    <t>Công ty TNHH Kim Minh</t>
  </si>
  <si>
    <t>Nguyen Thi Le Quyen</t>
  </si>
  <si>
    <t>Do Danh Loi</t>
  </si>
  <si>
    <t>C222368</t>
  </si>
  <si>
    <t>Le Xuan Bao</t>
  </si>
  <si>
    <t>CÔNG TY TNHH THƯƠNG MẠI DỊCH VỤ CMI</t>
  </si>
  <si>
    <t>C110155</t>
  </si>
  <si>
    <t>CÔNG TY CỔ PHẦN TẬP ĐOÀN ĐẦU TƯ - THƯƠNG MẠI VÀ XÂY DỰNG VÂN KHÁNH</t>
  </si>
  <si>
    <t xml:space="preserve">C151475 </t>
  </si>
  <si>
    <t>Bui My Ngoc Han</t>
  </si>
  <si>
    <t>Công Ty TNHH Kỹ Thuật Lạnh Thành Tài</t>
  </si>
  <si>
    <t>Nguyen Thi Yen Z3M</t>
  </si>
  <si>
    <t>C110839</t>
  </si>
  <si>
    <t>Nguyen Thu Hong</t>
  </si>
  <si>
    <t>Công ty cổ phần Mediamart Việt Nam</t>
  </si>
  <si>
    <r>
      <t xml:space="preserve">No </t>
    </r>
    <r>
      <rPr>
        <i/>
        <sz val="11"/>
        <color rgb="FF0000FF"/>
        <rFont val="Times New Roman"/>
        <family val="1"/>
      </rPr>
      <t xml:space="preserve">Mẫu số : </t>
    </r>
    <r>
      <rPr>
        <b/>
        <i/>
        <sz val="11"/>
        <color theme="1"/>
        <rFont val="Times New Roman"/>
        <family val="1"/>
      </rPr>
      <t xml:space="preserve">DAV--07-001 (A) </t>
    </r>
  </si>
  <si>
    <r>
      <rPr>
        <b/>
        <sz val="12"/>
        <rFont val="Times New Roman"/>
        <family val="1"/>
      </rPr>
      <t>Tháng</t>
    </r>
    <r>
      <rPr>
        <b/>
        <i/>
        <sz val="12"/>
        <color rgb="FF0000FF"/>
        <rFont val="Times New Roman"/>
        <family val="1"/>
      </rPr>
      <t>/ Month:</t>
    </r>
  </si>
  <si>
    <r>
      <t xml:space="preserve">Ngày kiểm tra đóng due
</t>
    </r>
    <r>
      <rPr>
        <b/>
        <i/>
        <sz val="11"/>
        <color rgb="FF0000FF"/>
        <rFont val="Times New Roman"/>
        <family val="1"/>
      </rPr>
      <t>Checking overdue status date</t>
    </r>
  </si>
  <si>
    <r>
      <t xml:space="preserve">Người kiểm tra
</t>
    </r>
    <r>
      <rPr>
        <b/>
        <i/>
        <sz val="11"/>
        <color rgb="FF0000FF"/>
        <rFont val="Times New Roman"/>
        <family val="1"/>
      </rPr>
      <t>Checked by</t>
    </r>
  </si>
  <si>
    <r>
      <t xml:space="preserve">Người phê duyệt
</t>
    </r>
    <r>
      <rPr>
        <b/>
        <i/>
        <sz val="11"/>
        <color rgb="FF0000FF"/>
        <rFont val="Times New Roman"/>
        <family val="1"/>
      </rPr>
      <t>Approved by</t>
    </r>
  </si>
  <si>
    <r>
      <t xml:space="preserve">Tình trạng
</t>
    </r>
    <r>
      <rPr>
        <b/>
        <i/>
        <sz val="11"/>
        <color rgb="FF0000FF"/>
        <rFont val="Times New Roman"/>
        <family val="1"/>
      </rPr>
      <t>Status</t>
    </r>
  </si>
  <si>
    <r>
      <t xml:space="preserve">Ghi chú
</t>
    </r>
    <r>
      <rPr>
        <b/>
        <i/>
        <sz val="11"/>
        <color rgb="FF0000FF"/>
        <rFont val="Times New Roman"/>
        <family val="1"/>
      </rPr>
      <t>Notes</t>
    </r>
  </si>
  <si>
    <t>C220503</t>
  </si>
  <si>
    <t>CÔNG TY TNHH ĐẦU TƯ PHÁT TRIỂN CCG</t>
  </si>
  <si>
    <t>Doan Huynh Nhu</t>
  </si>
  <si>
    <t>C221651, C221650, C220825, C221647, C172707</t>
  </si>
  <si>
    <t>CÔNG TY CỔ PHẦN TẬP ĐOÀN GOLDEN GATE</t>
  </si>
  <si>
    <t>C111089</t>
  </si>
  <si>
    <t>CÔNG TY CỔ PHẦN TƯ VẤN XÂY DỰNG VÀ CHUYỂN GIAO CÔNG NGHỆ CÔNG MINH</t>
  </si>
  <si>
    <t>C110739</t>
  </si>
  <si>
    <t>Nguyen Quang Truc</t>
  </si>
  <si>
    <t>CÔNG TY CỔ PHẦN LIÊN Á QUỐC TẾ</t>
  </si>
  <si>
    <t>C110037</t>
  </si>
  <si>
    <t>Công ty TNHH Hà Hùng</t>
  </si>
  <si>
    <t>C210751</t>
  </si>
  <si>
    <t>CÔNG TY TNHH THƯƠNG MẠI DỊCH VỤ CƠ ĐIỆN LẠNH TIẾN ANH</t>
  </si>
  <si>
    <t>Le Phi Long B3S &lt;philong.le1@daikin.com.vn&gt;</t>
  </si>
  <si>
    <t>C162281</t>
  </si>
  <si>
    <t>CÔNG TY TNHH THI ĐẠT</t>
  </si>
  <si>
    <t>C110264</t>
  </si>
  <si>
    <t>Van Thi Ngoc Bich</t>
  </si>
  <si>
    <t>Truong Vinh Thanh</t>
  </si>
  <si>
    <t>Công ty Cổ Phần Kỹ Thuật Minh Đông</t>
  </si>
  <si>
    <t>C151799</t>
  </si>
  <si>
    <t>Nguyen Van Ly</t>
  </si>
  <si>
    <t>CÔNG TY TNHH THIẾT KẾ VÀ THƯƠNG MẠI MÔI TRƯỜNG XANH</t>
  </si>
  <si>
    <t xml:space="preserve">Tran Thi Phuong Lan </t>
  </si>
  <si>
    <t>C230485; C230414</t>
  </si>
  <si>
    <t>CÔNG TY TNHH ITL BÌNH DƯƠNG; CÔNG TY CỔ PHẦN ITL LOGISTICS</t>
  </si>
  <si>
    <t>C220890</t>
  </si>
  <si>
    <t>CÔNG TY TNHH THƯƠNG MẠI DỊCH VỤ CƠ ĐIỆN LẠNH THIÊN BÌNH</t>
  </si>
  <si>
    <t>Huynh Gia Khang</t>
  </si>
  <si>
    <t xml:space="preserve">C162661 </t>
  </si>
  <si>
    <t>CÔNG TY TNHH THƯƠNG MẠI ĐIỆN TỬ BLUESEA</t>
  </si>
  <si>
    <t>Phan Thi Kieu Trang S3M &lt;kieutrang.phan1@daikin.com.vn&gt;</t>
  </si>
  <si>
    <t>C110991</t>
  </si>
  <si>
    <t>Nguyen Tuan Anh S2D &lt;tuananh.nguyen3@daikin.com.vn&gt;</t>
  </si>
  <si>
    <t>Công ty TNHH sản xuất thương mại xây dựng Phố Việt</t>
  </si>
  <si>
    <t>C190420</t>
  </si>
  <si>
    <t>CÔNG TY TNHH MỘT THÀNH VIÊN SALA NGUYỄN</t>
  </si>
  <si>
    <t>Tran Ngoc Mai &lt;ngocmai.tran@daikin.com.vn&gt;</t>
  </si>
  <si>
    <t>C182039</t>
  </si>
  <si>
    <t>Bui Tran Truong Giang</t>
  </si>
  <si>
    <t>CÔNG TY TRÁCH NHIỆM HỮU HẠN THƯƠNG MẠI VÀ DỊCH VỤ HOÀNG ĐỨC HẢI</t>
  </si>
  <si>
    <t xml:space="preserve">C221572 </t>
  </si>
  <si>
    <t>CÔNG TY TNHH DỊCH VỤ KỸ THUẬT KHANG NGUYỄN</t>
  </si>
  <si>
    <t>C110139</t>
  </si>
  <si>
    <t>CÔNG TY TNHH TM DV KT CƠ ĐIỆN LẠNH HÀ GIANG</t>
  </si>
  <si>
    <t>C181802</t>
  </si>
  <si>
    <t>Phan Tan Hung</t>
  </si>
  <si>
    <t>CÔNG TY TNHH HAYABUSA (VIỆT NAM)</t>
  </si>
  <si>
    <t>Nguyen Van Nguyen</t>
  </si>
  <si>
    <t>C172602</t>
  </si>
  <si>
    <t>CÔNG TY CỔ PHẦN KỸ THUẬT UREE VIỆT NAM</t>
  </si>
  <si>
    <t>C140977</t>
  </si>
  <si>
    <t>Công ty TNHH Kỹ Nghệ Lạnh Tâm Nguyễn</t>
  </si>
  <si>
    <t>C150740</t>
  </si>
  <si>
    <t>Công ty TNHH Aeon Delight (Việt Nam)</t>
  </si>
  <si>
    <t>C111873</t>
  </si>
  <si>
    <t>Công ty TNHH Điện Lạnh Duy Cường</t>
  </si>
  <si>
    <t>Nguyen Ngoc Thanh</t>
  </si>
  <si>
    <t>C120251</t>
  </si>
  <si>
    <t>Công Ty TNHH Cơ Điện Lạnh Hải Yến Hy</t>
  </si>
  <si>
    <t>C160616</t>
  </si>
  <si>
    <t>Doanh Nghiệp Tư Nhân Điện Máy Nội Thất Phú</t>
  </si>
  <si>
    <t>Dang Nguyen Truc &lt;nguyentruc.dang@daikin.com.vn&gt;</t>
  </si>
  <si>
    <t>C192673</t>
  </si>
  <si>
    <t>CÔNG TY TNHH CƠ ĐIỆN LẠNH HOÀI ĐỨC</t>
  </si>
  <si>
    <t>Nguyen Minh Hieu</t>
  </si>
  <si>
    <t>C141840</t>
  </si>
  <si>
    <t>Nguyen Le Mai Thao</t>
  </si>
  <si>
    <t>Tran Anh Khoa</t>
  </si>
  <si>
    <t>CÔNG TY TNHH LAGUNA (VIỆT NAM)</t>
  </si>
  <si>
    <t>C141983</t>
  </si>
  <si>
    <t>CÔNG TY CỔ PHẦN BỆNH VIỆN ĐA KHOA HOÀN MỸ SÀI GÒN</t>
  </si>
  <si>
    <t>C201148</t>
  </si>
  <si>
    <t>Nguyen Anh Thao</t>
  </si>
  <si>
    <t>Le Van Quang</t>
  </si>
  <si>
    <t>CÔNG TY TNHH TM DV ĐIỆN MÁY NHIỆT ĐỚI</t>
  </si>
  <si>
    <t>C210911</t>
  </si>
  <si>
    <t>Vu Thi Ha Thanh</t>
  </si>
  <si>
    <t>CÔNG TY TNHH KỸ THUẬT CÔNG NGHỆ MINH TRÍ</t>
  </si>
  <si>
    <t>C192543</t>
  </si>
  <si>
    <t>CÔNG TY TRÁCH NHIỆM HỮU HẠN THƯƠNG MẠI DỊCH VỤ ĐIỆN TỬ ĐIỆN LẠNH ĐIỆN GIA DỤNG THANH BẾN TRE</t>
  </si>
  <si>
    <t>Nguyen Vuong Hong Thinh</t>
  </si>
  <si>
    <t>Hoang Ngoc Minh</t>
  </si>
  <si>
    <t>C110121</t>
  </si>
  <si>
    <t>Tran Van Nhat</t>
  </si>
  <si>
    <t>Do Duy Minh</t>
  </si>
  <si>
    <t>Công ty Cổ Phần Công Nghiệp Lạnh Hưng Trí</t>
  </si>
  <si>
    <t>Bui Truong Giang</t>
  </si>
  <si>
    <t>C181528</t>
  </si>
  <si>
    <t>CÔNG TY TNHH ĐIỆN LẠNH THÁI BÌNH DƯƠNG</t>
  </si>
  <si>
    <t>C191446</t>
  </si>
  <si>
    <t>CÔNG TY TNHH THIẾT BỊ &amp; CÔNG NGHỆ NGÔI SAO XANH</t>
  </si>
  <si>
    <t>C181095</t>
  </si>
  <si>
    <t>CÔNG TY TNHH CƠ ĐIỆN LẠNH TÂM PHÚC</t>
  </si>
  <si>
    <t>C211029</t>
  </si>
  <si>
    <t>CÔNG TY TRÁCH NHIỆM HỮU HẠN THƯƠNG MẠI VÀ DỊCH VU KỸ THUẬT THIÊN LỘC</t>
  </si>
  <si>
    <t>C171740</t>
  </si>
  <si>
    <t>Truong Vu Nhu Hieu; Nguyen Bao Toan</t>
  </si>
  <si>
    <t>CHI NHÁNH CÔNG TY TNHH VIỆT NAM KANDENKO TẠI THÀNH PHỐ HỒ CHÍ MINH</t>
  </si>
  <si>
    <t>C150292</t>
  </si>
  <si>
    <t>Công Ty Cổ Phần Trường Tiểu Học - Trung Học Cơ Sở- Trung Học Phổ Thông Quốc Tế Canada</t>
  </si>
  <si>
    <t xml:space="preserve">
</t>
  </si>
  <si>
    <t>C172711</t>
  </si>
  <si>
    <t>CÔNG TY CỔ PHẦN BỆNH VIỆN MỸ PHƯỚC</t>
  </si>
  <si>
    <t>C221677</t>
  </si>
  <si>
    <t>CÔNG TY TNHH RHEEM VIỆT NAM</t>
  </si>
  <si>
    <t>C130356</t>
  </si>
  <si>
    <t>Huynh Huu Thuy</t>
  </si>
  <si>
    <t>CÔNG TY TNHH TIẾN LỘC TÀI</t>
  </si>
  <si>
    <t>C230813</t>
  </si>
  <si>
    <t>CÔNG TY CỔ PHẦN CAO SU THẮNG LỢI TÂY NINH</t>
  </si>
  <si>
    <t xml:space="preserve">C231094 </t>
  </si>
  <si>
    <t>Công ty TNHH Nam Điệp</t>
  </si>
  <si>
    <t>C192247</t>
  </si>
  <si>
    <t>CÔNG TY TNHH KỸ THUẬT HTS</t>
  </si>
  <si>
    <t>Doan Nguyen Dang Khoa</t>
  </si>
  <si>
    <t>Nguyen Duc Tinh</t>
  </si>
  <si>
    <t>Tran Dinh Quoc</t>
  </si>
  <si>
    <t>C111581</t>
  </si>
  <si>
    <t>Tran Nguyen Phi Long</t>
  </si>
  <si>
    <t>Dang Van Chien</t>
  </si>
  <si>
    <t>CÔNG TY CỔ PHẦN CƠ ĐIỆN LẠNH NAM THỊNH</t>
  </si>
  <si>
    <t>C220329</t>
  </si>
  <si>
    <t>CÔNG TY CỔ PHẦN XÂY DỰNG VÀ THIẾT BỊ THÁI BÌNH DƯƠNG</t>
  </si>
  <si>
    <t>C191274</t>
  </si>
  <si>
    <t>CÔNG TY TNHH THƯƠNG MẠI DỊCH VỤ ĐIỆN LẠNH ĐĂNG QUANG</t>
  </si>
  <si>
    <t>C182175</t>
  </si>
  <si>
    <t>CÔNG TY TNHH THƯƠNG MẠI VÀ DỊCH VỤ TÂM THÀNH LỘC</t>
  </si>
  <si>
    <t>Nguyen The Thien</t>
  </si>
  <si>
    <t>C130946</t>
  </si>
  <si>
    <t>Hua Kim Long</t>
  </si>
  <si>
    <t>CÔNG TY CỔ PHẦN HAWEE CƠ ĐIỆN</t>
  </si>
  <si>
    <t>C231926</t>
  </si>
  <si>
    <t>CÔNG TY TNHH TENMA VIỆT NAM</t>
  </si>
  <si>
    <t>Sanada Yukinori</t>
  </si>
  <si>
    <t>Vo Van Tam</t>
  </si>
  <si>
    <t>Nguyen Huu Hau</t>
  </si>
  <si>
    <t>Pham Tran Thuc Duy</t>
  </si>
  <si>
    <t>Bui Thanh Binh</t>
  </si>
  <si>
    <t>C200918</t>
  </si>
  <si>
    <t>CÔNG TY CỔ PHẦN XÂY DỰNG THƯƠNG MẠI DỊCH VỤ VIỆT TIÊN PHONG</t>
  </si>
  <si>
    <t>C150057</t>
  </si>
  <si>
    <t>Do Danh Khoa</t>
  </si>
  <si>
    <t>Công ty TNHH Thương Mại Dịch Vụ Kỹ Thuật Lê Phạm</t>
  </si>
  <si>
    <t>C182232</t>
  </si>
  <si>
    <t>CÔNG TY TNHH THƯƠNG MẠI KỸ THUẬT CƠ ĐIỆN GIA NGUYỄN</t>
  </si>
  <si>
    <t>C190615</t>
  </si>
  <si>
    <t>CÔNG TY TNHH XNK CĐL SONG ANH</t>
  </si>
  <si>
    <t>CC</t>
  </si>
  <si>
    <t>LG</t>
  </si>
  <si>
    <t>C110187</t>
  </si>
  <si>
    <t>C190613</t>
  </si>
  <si>
    <t>C180100</t>
  </si>
  <si>
    <t>C200552</t>
  </si>
  <si>
    <t>C190686</t>
  </si>
  <si>
    <t>C171503</t>
  </si>
  <si>
    <t>C182512</t>
  </si>
  <si>
    <t>C162661</t>
  </si>
  <si>
    <t>C182303</t>
  </si>
  <si>
    <t>C171496</t>
  </si>
  <si>
    <t>C180665</t>
  </si>
  <si>
    <t>C200794</t>
  </si>
  <si>
    <t>C220280</t>
  </si>
  <si>
    <t>C200986</t>
  </si>
  <si>
    <t>C221003</t>
  </si>
  <si>
    <t>C142023</t>
  </si>
  <si>
    <t>C162342</t>
  </si>
  <si>
    <t>C181719</t>
  </si>
  <si>
    <t>C181662</t>
  </si>
  <si>
    <t>C181732</t>
  </si>
  <si>
    <t>C191524</t>
  </si>
  <si>
    <t>C111522</t>
  </si>
  <si>
    <t>C220055</t>
  </si>
  <si>
    <t>C171126</t>
  </si>
  <si>
    <t>C200527</t>
  </si>
  <si>
    <t>C220512</t>
  </si>
  <si>
    <t>C211671</t>
  </si>
  <si>
    <t>C182472</t>
  </si>
  <si>
    <t>C190713</t>
  </si>
  <si>
    <t>C142001</t>
  </si>
  <si>
    <t>C210831</t>
  </si>
  <si>
    <t>C172325</t>
  </si>
  <si>
    <t>C200162</t>
  </si>
  <si>
    <t>C192335</t>
  </si>
  <si>
    <t>C192458</t>
  </si>
  <si>
    <t>C140020</t>
  </si>
  <si>
    <t>C120950</t>
  </si>
  <si>
    <t>C192696</t>
  </si>
  <si>
    <t>C201390</t>
  </si>
  <si>
    <t>C110762</t>
  </si>
  <si>
    <t>C160871</t>
  </si>
  <si>
    <t>C170646</t>
  </si>
  <si>
    <t>C180974</t>
  </si>
  <si>
    <t>C181867</t>
  </si>
  <si>
    <t>C110251</t>
  </si>
  <si>
    <t>C180247</t>
  </si>
  <si>
    <t>C110180</t>
  </si>
  <si>
    <t>C170045</t>
  </si>
  <si>
    <t>C131864</t>
  </si>
  <si>
    <t>C220375</t>
  </si>
  <si>
    <t>C152205</t>
  </si>
  <si>
    <t>C201361</t>
  </si>
  <si>
    <t>C110948</t>
  </si>
  <si>
    <t>C180058</t>
  </si>
  <si>
    <t>C182780</t>
  </si>
  <si>
    <t>C221764</t>
  </si>
  <si>
    <t>C182668</t>
  </si>
  <si>
    <t>C110164</t>
  </si>
  <si>
    <t>C111840</t>
  </si>
  <si>
    <t>C220508</t>
  </si>
  <si>
    <t>C220781</t>
  </si>
  <si>
    <t>C181954</t>
  </si>
  <si>
    <t>C200767</t>
  </si>
  <si>
    <t>C110801</t>
  </si>
  <si>
    <t>C210467</t>
  </si>
  <si>
    <t>C110271</t>
  </si>
  <si>
    <t>C221148</t>
  </si>
  <si>
    <t>C170825</t>
  </si>
  <si>
    <t>C210780</t>
  </si>
  <si>
    <t>C110702</t>
  </si>
  <si>
    <t>C110248</t>
  </si>
  <si>
    <t>C200984</t>
  </si>
  <si>
    <t>C210176</t>
  </si>
  <si>
    <t>C221572</t>
  </si>
  <si>
    <t>C110261</t>
  </si>
  <si>
    <t>C142122</t>
  </si>
  <si>
    <t>C190184</t>
  </si>
  <si>
    <t>C210197</t>
  </si>
  <si>
    <t>C190099</t>
  </si>
  <si>
    <t>C201841</t>
  </si>
  <si>
    <t>C192053</t>
  </si>
  <si>
    <t>C110906</t>
  </si>
  <si>
    <t>C142148</t>
  </si>
  <si>
    <t>C230222</t>
  </si>
  <si>
    <t>C152104</t>
  </si>
  <si>
    <t>C201723</t>
  </si>
  <si>
    <t>C200855</t>
  </si>
  <si>
    <t>C120357</t>
  </si>
  <si>
    <t>C191376</t>
  </si>
  <si>
    <t>C151537</t>
  </si>
  <si>
    <t>C110812</t>
  </si>
  <si>
    <t>C142096</t>
  </si>
  <si>
    <t>C111896</t>
  </si>
  <si>
    <t>C192532</t>
  </si>
  <si>
    <t>C110158</t>
  </si>
  <si>
    <t>C171893</t>
  </si>
  <si>
    <t>C150722</t>
  </si>
  <si>
    <t>C150200</t>
  </si>
  <si>
    <t>C211388</t>
  </si>
  <si>
    <t>C220060</t>
  </si>
  <si>
    <t>C182983</t>
  </si>
  <si>
    <t>C110159</t>
  </si>
  <si>
    <t>C200944</t>
  </si>
  <si>
    <t>C180705</t>
  </si>
  <si>
    <t>C202042</t>
  </si>
  <si>
    <t>C192560</t>
  </si>
  <si>
    <t>C202549</t>
  </si>
  <si>
    <t>C120934</t>
  </si>
  <si>
    <t>C180035</t>
  </si>
  <si>
    <t>C182255</t>
  </si>
  <si>
    <t>C201529</t>
  </si>
  <si>
    <t>C210364</t>
  </si>
  <si>
    <t>C221673</t>
  </si>
  <si>
    <t>C200025</t>
  </si>
  <si>
    <t>C221744</t>
  </si>
  <si>
    <t>C110276</t>
  </si>
  <si>
    <t>C211085</t>
  </si>
  <si>
    <t>C191041</t>
  </si>
  <si>
    <t>C141712</t>
  </si>
  <si>
    <t>C221918</t>
  </si>
  <si>
    <t>C221615</t>
  </si>
  <si>
    <t>C161297</t>
  </si>
  <si>
    <t>C221230</t>
  </si>
  <si>
    <t>C140701</t>
  </si>
  <si>
    <t>C221532</t>
  </si>
  <si>
    <t>C181856</t>
  </si>
  <si>
    <t>C221349</t>
  </si>
  <si>
    <t>C220474</t>
  </si>
  <si>
    <t>C142040</t>
  </si>
  <si>
    <t>C191976</t>
  </si>
  <si>
    <t>C191198</t>
  </si>
  <si>
    <t>C200137</t>
  </si>
  <si>
    <t>C200001</t>
  </si>
  <si>
    <t>C190081</t>
  </si>
  <si>
    <t>C221227</t>
  </si>
  <si>
    <t>C130837</t>
  </si>
  <si>
    <t>C211092</t>
  </si>
  <si>
    <t>C182592</t>
  </si>
  <si>
    <t>C221985</t>
  </si>
  <si>
    <t>C110909</t>
  </si>
  <si>
    <t>C191462</t>
  </si>
  <si>
    <t>C202505</t>
  </si>
  <si>
    <t>C131814</t>
  </si>
  <si>
    <t>C220577</t>
  </si>
  <si>
    <t>C220140</t>
  </si>
  <si>
    <t>C110685</t>
  </si>
  <si>
    <t>C150987</t>
  </si>
  <si>
    <t>C220836</t>
  </si>
  <si>
    <t>C202181</t>
  </si>
  <si>
    <t>C220167</t>
  </si>
  <si>
    <t>C141989</t>
  </si>
  <si>
    <t>C221233</t>
  </si>
  <si>
    <t>C220449</t>
  </si>
  <si>
    <t>C182879</t>
  </si>
  <si>
    <t>C162089</t>
  </si>
  <si>
    <t>C211735</t>
  </si>
  <si>
    <t>C172429</t>
  </si>
  <si>
    <t>C210631</t>
  </si>
  <si>
    <t>C221493</t>
  </si>
  <si>
    <t>C110893</t>
  </si>
  <si>
    <t>C201903</t>
  </si>
  <si>
    <t>C200075</t>
  </si>
  <si>
    <t>C200631</t>
  </si>
  <si>
    <t>C220565</t>
  </si>
  <si>
    <t>C220250</t>
  </si>
  <si>
    <t>C221507</t>
  </si>
  <si>
    <t>C200919</t>
  </si>
  <si>
    <t>C220084</t>
  </si>
  <si>
    <t>C110683</t>
  </si>
  <si>
    <t>C211528</t>
  </si>
  <si>
    <t>C221190</t>
  </si>
  <si>
    <t>C191191</t>
  </si>
  <si>
    <t>C211734</t>
  </si>
  <si>
    <t>C221675</t>
  </si>
  <si>
    <t>C220331</t>
  </si>
  <si>
    <t>C110985</t>
  </si>
  <si>
    <t>C220479</t>
  </si>
  <si>
    <t>‪‪‪C230628</t>
  </si>
  <si>
    <t>C191988</t>
  </si>
  <si>
    <t>C192032</t>
  </si>
  <si>
    <t>C221959</t>
  </si>
  <si>
    <t>C221445</t>
  </si>
  <si>
    <t>C131834</t>
  </si>
  <si>
    <t>C222075</t>
  </si>
  <si>
    <t>C200294</t>
  </si>
  <si>
    <t>C131866</t>
  </si>
  <si>
    <t>C182984</t>
  </si>
  <si>
    <t>C120562</t>
  </si>
  <si>
    <t>C162585</t>
  </si>
  <si>
    <t>C120332</t>
  </si>
  <si>
    <t>C222335</t>
  </si>
  <si>
    <t>C130257</t>
  </si>
  <si>
    <t>C220212</t>
  </si>
  <si>
    <t>C211969</t>
  </si>
  <si>
    <t>C150356</t>
  </si>
  <si>
    <t>C211975</t>
  </si>
  <si>
    <t>C201966</t>
  </si>
  <si>
    <t>C182827</t>
  </si>
  <si>
    <t>C120671</t>
  </si>
  <si>
    <t>C171636</t>
  </si>
  <si>
    <t>C220211</t>
  </si>
  <si>
    <t>C210787</t>
  </si>
  <si>
    <t>C210821</t>
  </si>
  <si>
    <t>C220245</t>
  </si>
  <si>
    <t>C191669</t>
  </si>
  <si>
    <t>C220312</t>
  </si>
  <si>
    <t>C220106</t>
  </si>
  <si>
    <t>C130565</t>
  </si>
  <si>
    <t>C220679</t>
  </si>
  <si>
    <t>C220104</t>
  </si>
  <si>
    <t>C120334</t>
  </si>
  <si>
    <t>C220100</t>
  </si>
  <si>
    <t>C211810</t>
  </si>
  <si>
    <t>C220680</t>
  </si>
  <si>
    <t>C220132</t>
  </si>
  <si>
    <t>C182959</t>
  </si>
  <si>
    <t>C190137</t>
  </si>
  <si>
    <t>C171768</t>
  </si>
  <si>
    <t>C130567</t>
  </si>
  <si>
    <t>C210192</t>
  </si>
  <si>
    <t>C182586</t>
  </si>
  <si>
    <t>C130303</t>
  </si>
  <si>
    <t>C221853</t>
  </si>
  <si>
    <t>C220635</t>
  </si>
  <si>
    <t>C200055</t>
  </si>
  <si>
    <t>C220048</t>
  </si>
  <si>
    <t>C220241</t>
  </si>
  <si>
    <t>C222352</t>
  </si>
  <si>
    <t>C221728</t>
  </si>
  <si>
    <t>C120268</t>
  </si>
  <si>
    <t>C220062</t>
  </si>
  <si>
    <t>C221301</t>
  </si>
  <si>
    <t>C221962</t>
  </si>
  <si>
    <t>C221302</t>
  </si>
  <si>
    <t>C221698</t>
  </si>
  <si>
    <t>C202138</t>
  </si>
  <si>
    <t>C220213</t>
  </si>
  <si>
    <t>C220294</t>
  </si>
  <si>
    <t>C220133</t>
  </si>
  <si>
    <t>C220908</t>
  </si>
  <si>
    <t>C211685</t>
  </si>
  <si>
    <t>C171486</t>
  </si>
  <si>
    <t>C191284</t>
  </si>
  <si>
    <t>C162550</t>
  </si>
  <si>
    <t>C171532</t>
  </si>
  <si>
    <t>C220669</t>
  </si>
  <si>
    <t>C211757</t>
  </si>
  <si>
    <t>C211758</t>
  </si>
  <si>
    <t>C160773</t>
  </si>
  <si>
    <t>C192589</t>
  </si>
  <si>
    <t>C191166</t>
  </si>
  <si>
    <t>C110322</t>
  </si>
  <si>
    <t>C140863</t>
  </si>
  <si>
    <t>C182725</t>
  </si>
  <si>
    <t>C162081</t>
  </si>
  <si>
    <t>C220189</t>
  </si>
  <si>
    <t>C220145</t>
  </si>
  <si>
    <t>C200394</t>
  </si>
  <si>
    <t>C131786</t>
  </si>
  <si>
    <t>C192127</t>
  </si>
  <si>
    <t>C120932</t>
  </si>
  <si>
    <t>C181344</t>
  </si>
  <si>
    <t>C172937</t>
  </si>
  <si>
    <t>C131897</t>
  </si>
  <si>
    <t>C120289</t>
  </si>
  <si>
    <t>C161621</t>
  </si>
  <si>
    <t>C120625</t>
  </si>
  <si>
    <t>C110321</t>
  </si>
  <si>
    <t>C190220</t>
  </si>
  <si>
    <t>C220979</t>
  </si>
  <si>
    <t>C220977</t>
  </si>
  <si>
    <t>C220126</t>
  </si>
  <si>
    <t>C211716</t>
  </si>
  <si>
    <t>C221920</t>
  </si>
  <si>
    <t>C211726</t>
  </si>
  <si>
    <t>C211727</t>
  </si>
  <si>
    <t>C221508</t>
  </si>
  <si>
    <t>C221622</t>
  </si>
  <si>
    <t>C221002</t>
  </si>
  <si>
    <t>C221330</t>
  </si>
  <si>
    <t>C221333</t>
  </si>
  <si>
    <t>Công ty TNHH Toàn Châu Á</t>
  </si>
  <si>
    <t>Công ty TNHH Thương Mại Dịch Vụ Kỹ Thuật Happy Friend</t>
  </si>
  <si>
    <t>CÔNG TY TNHH TM DV ĐIỆN MINH KHOA</t>
  </si>
  <si>
    <t>CÔNG TY TNHH TM DV ĐIỆN MÁY THÀNH ĐẠT</t>
  </si>
  <si>
    <t>CÔNG TY CỔ PHẦN KỸ THUẬT CÔNG NGHIỆP SAMTECH VIỆT NAM</t>
  </si>
  <si>
    <t>CÔNG TY TNHH THƯƠNG MẠI KỸ THUẬT ĐIỆN LẠNH TÂM ĐỨC</t>
  </si>
  <si>
    <t>Công Ty TNHH TM DV Điện máy Hiệp Thành Phát</t>
  </si>
  <si>
    <t>CÔNG TY TNHH THƯƠNG MẠI DỊCH VỤ MÁY LẠNH ĐẠI HỒNG PHÁT</t>
  </si>
  <si>
    <t>Công Ty TNHH Thương Mại Dịch Vụ Vinh Phụng</t>
  </si>
  <si>
    <t>CÔNG TY TNHH ĐIỆN LẠNH PHAN GIA</t>
  </si>
  <si>
    <t>CÔNG TY TNHH THƯƠNG MẠI VÀ KỸ THUẬT CƠ ĐIỆN SAO VIỆT</t>
  </si>
  <si>
    <t>Công Ty TNHH TM DV Khang Hưng</t>
  </si>
  <si>
    <t>CÔNG TY TNHH TM DV XNK THÀNH AN</t>
  </si>
  <si>
    <t>Công ty Cổ Phần Sen Việt TP Hồ Chí Minh</t>
  </si>
  <si>
    <t>Công ty Cổ Phần Cơ Điện Lạnh Thiên Phát</t>
  </si>
  <si>
    <t>CÔNG TY TNHH BAIMUWU</t>
  </si>
  <si>
    <t>Công ty TNHH Đầu Tư Thương Mại Dịch Vụ Ánh Sao</t>
  </si>
  <si>
    <t>CÔNG TY TNHH XÂY DỰNG THƯƠNG MẠI DỊCH VỤ KHANG NINH</t>
  </si>
  <si>
    <t>Công Ty TNHH Thương Mại Dịch Vụ Xuất Nhập Khẩu Long Loan</t>
  </si>
  <si>
    <t>CÔNG TY TNHH TM &amp; DV CƠ ĐIỆN THẾ ĐẠI</t>
  </si>
  <si>
    <t>Công ty TNHH Thương Mại Dịch Vụ Vũ Hưng Sinh</t>
  </si>
  <si>
    <t>Công Ty TNHH Cơ Điện Lạnh Sang Vinh</t>
  </si>
  <si>
    <t>CÔNG TY TNHH THƯƠNG MẠI KỸ THUẬT HỒNG MINH</t>
  </si>
  <si>
    <t>CÔNG TY TNHH NGHIỆP HƯNG</t>
  </si>
  <si>
    <t>CÔNG TY TNHH THƯƠNG MẠI DỊCH VỤ ĐIỆN LẠNH TÂM HƯNG PHÁT</t>
  </si>
  <si>
    <t>CÔNG TY TNHH CÔNG NGHỆ THIÊN LẬP</t>
  </si>
  <si>
    <t>CÔNG TY TNHH THƯƠNG MẠI ĐIỆN MÁY NAM TIẾN PHÁT</t>
  </si>
  <si>
    <t>CÔNG TY TNHH THƯƠNG MẠI - DỊCH VỤ KỸ THUẬT NAM ĐIỆP</t>
  </si>
  <si>
    <t>CÔNG TY TNHH ĐIỆN LẠNH TRIỀU AN</t>
  </si>
  <si>
    <t xml:space="preserve">CÔNG TY TNHH TM DV KỸ THUẬT NGỌC ÁNH	</t>
  </si>
  <si>
    <t>CÔNG TY TNHH KỸ THUẬT CƠ ĐIỆN TÍN AN</t>
  </si>
  <si>
    <t>Công ty TNHH TM Điều Hòa Không Khí Và Lạnh Công Nghiệp Môi Trường Xanh</t>
  </si>
  <si>
    <t>CÔNG TY TNHH ĐẦU TƯ PHÁT TRIỂN T &amp; G</t>
  </si>
  <si>
    <t>CÔNG TY TNHH THƯƠNG MẠI DỊCH VỤ B2TECH</t>
  </si>
  <si>
    <t>Công ty TNHH Điện Lạnh Khôn Linh</t>
  </si>
  <si>
    <t>Công Ty TNHH Một Thành Viên Cơ Điện Lạnh Minh Tuyền</t>
  </si>
  <si>
    <t>CÔNG TY TNHH THƯƠNG MẠI CƠ ĐIỆN LẠNH PHÚ HƯNG</t>
  </si>
  <si>
    <t>CÔNG TY TNHH THƯƠNG MẠI DỊCH VỤ KỸ THUẬT ANH HUY</t>
  </si>
  <si>
    <t>Công ty TNHH Kỹ thuật Cơ điện lạnh Quí Long</t>
  </si>
  <si>
    <t>Công ty TNHH TM DV Điện Lạnh Nguyễn Thông</t>
  </si>
  <si>
    <t>CÔNG TY TNHH CƠ ĐIỆN LẠNH TÂN KHANG</t>
  </si>
  <si>
    <t>Công ty TNHH Thương Mại Dịch Vụ Đại Cồ Việt</t>
  </si>
  <si>
    <t>Công Ty Cổ Phần Umbala Việt Nam</t>
  </si>
  <si>
    <t>Công ty TNHH Thương mại  Dịch vụ Kỹ nghệ Á Đông</t>
  </si>
  <si>
    <t>CÔNG TY TNHH VIỆT NAM RECOMM</t>
  </si>
  <si>
    <t>Công ty Cổ Phần Phúc Ngọc Anh</t>
  </si>
  <si>
    <t>CÔNG TY CỔ PHẦN PROSTOCK VIỆT NAM</t>
  </si>
  <si>
    <t>CÔNG TY TNHH ĐIỆN ĐIỆN LẠNH Á CHÂU</t>
  </si>
  <si>
    <t>Công Ty TNHH Thương Mại Dịch Vụ Thiên Ngân Phát</t>
  </si>
  <si>
    <t>Công Ty TNHH Một Thành Viên Thương Mại Dịch Vụ Kỹ Thuật Lạnh Minh Phát</t>
  </si>
  <si>
    <t>CÔNG TY TNHH ĐIỀU HÒA KHÔNG KHÍ THIÊN ĐỨC</t>
  </si>
  <si>
    <t>CÔNG TY TNHH THƯƠNG MẠI  DỊCH VỤ KỸ THUẬT PHẠM PHƯƠNG</t>
  </si>
  <si>
    <t>Công Ty TNHH Cơ Điện Lạnh TTP</t>
  </si>
  <si>
    <t>Công Ty TNHH Thương Mại &amp; Dịch Vụ Kỹ Thuật Quỳnh Trâm Anh</t>
  </si>
  <si>
    <t>CÔNG TY TRÁCH NHIỆM HỮU HẠN KỸ THUẬT CƠ ĐIỆN LẠNH VÀ XÂY DỰNG NAM HẢI</t>
  </si>
  <si>
    <t>CÔNG TY TNHH THƯƠNG MẠI DỊCH VỤ KA THY</t>
  </si>
  <si>
    <t>Công ty TNHH  Thương mại &amp; Dịch vụ Cơ Điện Lạnh P. M Phước Minh</t>
  </si>
  <si>
    <t>Công Ty TNHH TM DV Điện Lạnh Đức Tấn</t>
  </si>
  <si>
    <t>CÔNG TY TNHH THƯƠNG MẠI DỊCH VỤ ĐIỆN MÁY SƠN HÀ</t>
  </si>
  <si>
    <t>CÔNG TY TNHH THƯƠNG MẠI DỊCH VỤ KỸ THUẬT NACO</t>
  </si>
  <si>
    <t>CÔNG TY TNHH MÁY LẠNH 24H</t>
  </si>
  <si>
    <t>CÔNG TY TNHH IBSS VIỆT NAM</t>
  </si>
  <si>
    <t>Công Ty CP TM-DV Cơ Điện Lạnh Trần Hưởng</t>
  </si>
  <si>
    <t>CÔNG TY TNHH KỸ THUẬT DỊCH VỤ TAMECO</t>
  </si>
  <si>
    <t>Công Ty CP Kỹ Thuật Lạnh Hòa Phát Thịnh</t>
  </si>
  <si>
    <t>CÔNG TY TNHH THƯƠNG MẠI - DỊCH VỤ CƠ ĐIỆN LẠNH HOÀNG MINH</t>
  </si>
  <si>
    <t>CÔNG TY TNHH MỘT THÀNH VIÊN THƯƠNG MẠI DỊCH VỤ MINH THÁI</t>
  </si>
  <si>
    <t>CÔNG TY TNHH ĐIỆN LẠNH THANH HẢI CHÂU</t>
  </si>
  <si>
    <t>Công Ty TNHH Song Nguyễn</t>
  </si>
  <si>
    <t>Công ty TNHH Cơ Điện Lạnh Tân Trần Hải</t>
  </si>
  <si>
    <t>Công Ty Cổ Phần Xhome Sài Gòn</t>
  </si>
  <si>
    <t>CÔNG TY TNHH ĐIỆN TỬ - VIỄN THÔNG GIA NGỌC VIỆT</t>
  </si>
  <si>
    <t>Công ty TNHH Điện lạnh Trọng Tín</t>
  </si>
  <si>
    <t>CÔNG TY TNHH THƯƠNG MẠI ĐIỆN MÁY SÀI GÒN</t>
  </si>
  <si>
    <t>Hộ Kinh Doanh Nguyễn Văn Phúc</t>
  </si>
  <si>
    <t>CÔNG TY TNHH LE FIG</t>
  </si>
  <si>
    <t>CÔNG TY TNHH THƯƠNG MẠI TOÀN GIA PHÚC</t>
  </si>
  <si>
    <t>CÔNG TY TNHH SẢN XUẤT THƯƠNG MẠI DỊCH VỤ KỸ THUẬT ĐIỆN LẠNH THÀNH AN</t>
  </si>
  <si>
    <t>Công ty TNHH Kỹ thuật công nghệ Thái Việt</t>
  </si>
  <si>
    <t>CÔNG TY TNHH THƯƠNG MẠI DỊCH VỤ CƠ ĐIỆN LẠNH HOÀNG VIỆT</t>
  </si>
  <si>
    <t>Công Ty TNHH Thương Mại Dịch Vụ Xuất Nhập Khẩu Văn Minh</t>
  </si>
  <si>
    <t>CÔNG TY TNHH GIẢI PHÁP CÔNG NGHỆ NĂNG LƯỢNG XANH</t>
  </si>
  <si>
    <t>Công Ty TNHH Thương Mại Dịch Vụ Điện Điện Lạnh Thiên Khoa</t>
  </si>
  <si>
    <t>CÔNG TY TNHH CƠ ĐIỆN LẠNH AN PHONG</t>
  </si>
  <si>
    <t>Công Ty TNHH TM DV Kỹ Thuật Công Nghệ Hào Kiệt</t>
  </si>
  <si>
    <t>Công Ty TNHH TM DV Điện Lạnh Tân Long Thi</t>
  </si>
  <si>
    <t>Công Ty TNHH Một Thành Viên Thương Mại Lâm Tùng</t>
  </si>
  <si>
    <t>Công ty Trách Nhiệm Hữu Hạn Sản Xuất Thương Mại Dịch Vụ Hữu Thành Vĩnh Lợi</t>
  </si>
  <si>
    <t>CÔNG TY TNHH THƯƠNG MẠI DỊCH VỤ PHAN THU</t>
  </si>
  <si>
    <t>CÔNG TY TNHH THƯƠNG MẠI DỊCH VỤ CÔNG NGHỆ LẠNH KIM TIẾN</t>
  </si>
  <si>
    <t>Công Ty TNHH Kỹ Thuật Cơ Điện Lạnh Tân Phú</t>
  </si>
  <si>
    <t>CÔNG TY TNHH THƯƠNG MẠI DỊCH VỤ AGASA</t>
  </si>
  <si>
    <t>CÔNG TY TNHH KHÔN LINH</t>
  </si>
  <si>
    <t>CÔNG TY CỔ PHẦN THƯƠNG MẠI DỊCH VỤ TTP GROUP</t>
  </si>
  <si>
    <t>Công ty TNHH Điện Máy Tân Tạo</t>
  </si>
  <si>
    <t>CÔNG TY TNHH THƯƠNG MẠI DỊCH VỤ CƠ ĐIỆN LẠNH VKT</t>
  </si>
  <si>
    <t>CÔNG TY CỔ PHẦN ĐẦU TƯ THƯƠNG MẠI KỸ THUẬT NỘI THẤT GIA MINH</t>
  </si>
  <si>
    <t>CÔNG TY TNHH THƯƠNG MẠI DỊCH VỤ ĐIỆN LẠNH AN TRÍ PHÁT</t>
  </si>
  <si>
    <t>Công ty TNHH TM DV XD Lê Nguyên Thảo</t>
  </si>
  <si>
    <t>CÔNG TY TNHH THƯƠNG MẠI VÀ DỊCH VỤ CƠ ĐIỆN LẠNH TÂN PHƯƠNG TÂY</t>
  </si>
  <si>
    <t>CÔNG TY TNHH TƯ VẤN THIẾT KẾ XÂY DỰNG PHƯƠNG MAI</t>
  </si>
  <si>
    <t>CÔNG TY TNHH THƯƠNG MẠI KỸ THUẬT LẮP ĐẶT HƯNG THỊNH</t>
  </si>
  <si>
    <t>CÔNG TY TNHH THƯƠNG MẠI ĐẦU TƯ NHẬT KHANG</t>
  </si>
  <si>
    <t>CÔNG TY TNHH THƯƠNG MẠI DỊCH VỤ ĐIỆN MÁY LÊ GIA</t>
  </si>
  <si>
    <t>CÔNG TY TNHH TMDV KỸ THUẬT NAM THÀNH</t>
  </si>
  <si>
    <t>Công ty TNHH Cơ Điện Thanh Đa</t>
  </si>
  <si>
    <t>CÔNG TY TNHH THƯƠNG MẠI CƠ ĐIỆN LẠNH THÀNH TRUNG</t>
  </si>
  <si>
    <t>Công ty TNHH Một Thành Viên Thương Mại-Dịch Vụ - Kỹ Thuật Cơ Điện Lạnh Nguyễn Mười</t>
  </si>
  <si>
    <t>CÔNG TY TNHH EXHOME</t>
  </si>
  <si>
    <t>CÔNG TY TNHH NHIỆT LẠNH NHẤT TÍN</t>
  </si>
  <si>
    <t>Công ty TNHH Điện Lạnh Quang Thoại</t>
  </si>
  <si>
    <t>CÔNG TY TNHH COMPLETE SOLUTION PROPERTY</t>
  </si>
  <si>
    <t>CÔNG TY TNHH THƯƠNG MẠI DỊCH VỤ KỸ THUẬT MAI GIA</t>
  </si>
  <si>
    <t>Công ty CP Điện lạnh Lê Quý</t>
  </si>
  <si>
    <t>CÔNG TY TNHH ĐIỆN - ĐIỆN TỬ - ĐIỆN LẠNH HƯNG THỊNH</t>
  </si>
  <si>
    <t>CÔNG TY TNHH THƯƠNG MẠI DỊCH VỤ KỸ THUẬT SÀI GÒN SPACE</t>
  </si>
  <si>
    <t>DNTN TM DV CƠ ĐIỆN LẠNH VĂN TRI</t>
  </si>
  <si>
    <t>CÔNG TY TNHH THƯƠNG MẠI DỊCH VỤ ĐIỆN LẠNH LONG VƯƠNG</t>
  </si>
  <si>
    <t>CÔNG TY TNHH TM DV BESTMUA</t>
  </si>
  <si>
    <t>CÔNG TY TRÁCH NHIỆM HỮU HẠN ALPHA NGUYỄN</t>
  </si>
  <si>
    <t>CÔNG TY TNHH GIẢI PHÁP KMAN</t>
  </si>
  <si>
    <t>Công Ty TNHH Xây Dựng Sản Xuất Thương Mại Dịch Vụ Thiên Anh Bá</t>
  </si>
  <si>
    <t>CÔNG TY TNHH THƯƠNG MẠI DỊCH VỤ XÂY DỰNG VÀ QUẢNG CÁO BẦU TRỜI XANH</t>
  </si>
  <si>
    <t>Công ty TNHH Kỹ Thuật Thương Mại Tuấn Xinh</t>
  </si>
  <si>
    <t>Công Ty TNHH Nhiệt Điện Lạnh Đại Việt Tín</t>
  </si>
  <si>
    <t>CÔNG TY TNHH MIZUCHAN</t>
  </si>
  <si>
    <t>Hộ Kinh Doanh Nguyễn Văn Thăm</t>
  </si>
  <si>
    <t>Công Ty TNHH TM - DV Điện Lạnh Gia Bảo</t>
  </si>
  <si>
    <t>CÔNG TY TNHH THƯƠNG MẠI DỊCH VỤ KỸ THUẬT CƠ ĐIỆN LẠNH ANH KHOA</t>
  </si>
  <si>
    <t>CÔNG TY TNHH THƯƠNG MẠI YUASA VIỆT NAM</t>
  </si>
  <si>
    <t>CÔNG TY TNHH TM-DV THỦ ĐỨC</t>
  </si>
  <si>
    <t>CÔNG TY TNHH M&amp;E VIỄN ĐÔNG</t>
  </si>
  <si>
    <t>CÔNG TY TNHH CÔNG NGHIỆP VÀ THƯƠNG MẠI TRUNG NAM VIỆT</t>
  </si>
  <si>
    <t>Công ty TNHH Sản Xuất - Thương Mại - Dịch Vụ Hữu Nghị</t>
  </si>
  <si>
    <t>Công ty TNHH Minh Truyền Sài Gòn</t>
  </si>
  <si>
    <t>CÔNG TY TNHH TM&amp;DV CƠ ĐIỆN LẠNH NGUYÊN HÙNG</t>
  </si>
  <si>
    <t>CÔNG TY CỔ PHẦN ĐIỆN LẠNH AZAN</t>
  </si>
  <si>
    <t>Công ty TNHH A Hò</t>
  </si>
  <si>
    <t>CÔNG TY TNHH ĐIỆN MÁY ĐỨC MẠNH GIA KIỆM</t>
  </si>
  <si>
    <t>CÔNG TY TNHH TM DV BÌNH CHÂU XANH</t>
  </si>
  <si>
    <t>Cửa Hàng Điện Máy Điện Lạnh Kim Ngân</t>
  </si>
  <si>
    <t>CÔNG TY TNHH  ĐIỆN LẠNH PHẠM HÙNG</t>
  </si>
  <si>
    <t>CÔNG TY TNHH THƯƠNG MẠI - DỊCH VỤ KỸ THUẬT THẾ GIỚI NĂNG LƯỢNG</t>
  </si>
  <si>
    <t>Công Ty TNHH Châu Linh Rado</t>
  </si>
  <si>
    <t>Công ty TNHH Thương Mại Quách Đại</t>
  </si>
  <si>
    <t>PHẠM THỊ HỒNG HẢI</t>
  </si>
  <si>
    <t>Hộ Kinh Doanh Trần Kim Quý</t>
  </si>
  <si>
    <t>CÔNG TY TNHH TRUNG THÀNH ĐỊNH QUÁN</t>
  </si>
  <si>
    <t>DOANH NGHIỆP TƯ NHÂN THƯƠNG MẠI HIỆP THÚY</t>
  </si>
  <si>
    <t>Công Ty TNHH Thương Mại Dịch Vụ Sản Xuất Nhật Thành</t>
  </si>
  <si>
    <t>Công Ty TNHH Thương Mại &amp; Dịch Vụ Vũ Anh Vũng Tàu</t>
  </si>
  <si>
    <t>CÔNG TY TNHH CƠ ĐIỆN LẠNH ĐẠI QUANG MINH</t>
  </si>
  <si>
    <t>Công Ty Trách Nhiệm Hữu Hạn Thương Mại Dịch Vụ Cơ Điện Thanh Sơn</t>
  </si>
  <si>
    <t>HỘ KINH DOANH ĐIỆN MÁY-NỘI THẤT VĂN CAO</t>
  </si>
  <si>
    <t>Công ty TNHH Hoàng Gia Phú</t>
  </si>
  <si>
    <t>HỘ KINH DOANH HỒNG ĐỨC</t>
  </si>
  <si>
    <t>CÔNG TY TNHH CÔNG NGHỆ VÀ TRUYỀN THÔNG VMG</t>
  </si>
  <si>
    <t>DOANH NGHIỆP TƯ NHÂN THƯƠNG MẠI ĐIỆN MÁY PHÚ</t>
  </si>
  <si>
    <t>CÔNG TY TNHH ĐIỆN MÁY NỘI THẤT 123 LAGI</t>
  </si>
  <si>
    <t>CÔNG TY TNHH KỸ THUẬT CÔNG NGHỆ THÀNH HỌC</t>
  </si>
  <si>
    <t>CỬA HÀNG NGỌC HIỆP</t>
  </si>
  <si>
    <t>Hộ Kinh Doanh Điện Máy Thanh Sơn</t>
  </si>
  <si>
    <t>HỘ KINH DOANH TRƯƠNG CÔNG THÀNH</t>
  </si>
  <si>
    <t>Hộ Kinh Doanh Lê Minh Tân</t>
  </si>
  <si>
    <t>HỘ KINH DOANH THÁI NGUYÊN</t>
  </si>
  <si>
    <t>Điện Máy Việt Hoa</t>
  </si>
  <si>
    <t>CÔNG TY TNHH 160 DŨNG CƯỜNG</t>
  </si>
  <si>
    <t>CÔNG TY TNHH VÕ GIA TIẾN</t>
  </si>
  <si>
    <t>Hộ Kinh Doanh Hà Anh</t>
  </si>
  <si>
    <t>HỘ KINH DOANH TRUNG TÂM KỸ THUẬT THƯƠNG MẠI ANH VINH</t>
  </si>
  <si>
    <t>HỘ KINH DOANH QUANG HIỂN</t>
  </si>
  <si>
    <t>Công Ty TNHH Cơ Điện Lạnh Nhất Nam</t>
  </si>
  <si>
    <t>Điện Máy Thịnh Vượng</t>
  </si>
  <si>
    <t>Công Ty TNHH TM &amp; DV Trọng Nghĩa</t>
  </si>
  <si>
    <t>CÔNG TY TNHH THƯƠNG MẠI DỊCH VỤ ĐIỆN LẠNH THÁI HÒA ANH</t>
  </si>
  <si>
    <t>CÔNG TY TNHH THƯƠNG MẠI DỊCH VỤ CƠ ĐIỆN LẠNH ANH VŨ</t>
  </si>
  <si>
    <t>HỘ KINH DOANH ĐIỆN MÁY THANH</t>
  </si>
  <si>
    <t>Điện Máy Bảo Sơn</t>
  </si>
  <si>
    <t>Hộ Kinh Doanh Song Anh</t>
  </si>
  <si>
    <t>Cửa Hàng Điện Máy Nho</t>
  </si>
  <si>
    <t>CÔNG TY TNHH THIẾT BỊ ĐIỆN MÁY CÔNG THÀNH</t>
  </si>
  <si>
    <t>CÔNG TY TNHH NHIỆT LẠNH ĐỒNG NAI</t>
  </si>
  <si>
    <t>Trung Tâm Điện Máy Điện Lạnh Dạ Lan</t>
  </si>
  <si>
    <t>Công Ty TNHH Một Thành Viên Nhiệt Á Châu</t>
  </si>
  <si>
    <t>Công ty TNHH MTV Thiên Phú Cường</t>
  </si>
  <si>
    <t>Công Ty TNHH Một Thành Viên Kim Khí Điện Máy Thu Thủy</t>
  </si>
  <si>
    <t>Doanh Nghiệp Tư Nhân Mai Hạnh</t>
  </si>
  <si>
    <t>CÔNG TY TNHH TM-DV HOÀNG KHANG LỘC</t>
  </si>
  <si>
    <t>Công ty TNHH TM&amp;DV Hải Phương</t>
  </si>
  <si>
    <t>DOANH NGHIỆP TƯ NHÂN HUỲNH VINH</t>
  </si>
  <si>
    <t>CÔNG TY TNHH TMDV NHẬT HUY</t>
  </si>
  <si>
    <t>Trung Tâm Điện Máy Bảy Thiện</t>
  </si>
  <si>
    <t>HỘ KINH DOANH TIỆM NGỌC TÙNG</t>
  </si>
  <si>
    <t>HỘ KINH DOANH KIM KHÍ ĐIỆN MÁY TÁM BÔNG</t>
  </si>
  <si>
    <t>HỘ KINH DOANH PHAN TẤN THÀNH</t>
  </si>
  <si>
    <t>Doanh Nghiệp Tư Nhân Hoàng Khải</t>
  </si>
  <si>
    <t>Cửa Hàng Điện Máy-Điện Lạnh Thạch</t>
  </si>
  <si>
    <t>HỘ KINH DOANH HỮU</t>
  </si>
  <si>
    <t>HỘ KINH DOANH VĂN LÝ</t>
  </si>
  <si>
    <t>ĐIỆN MÁY ĐIỆN LẠNH HÙNG PHÚC</t>
  </si>
  <si>
    <t>HỘ KINH DOANH HOÀNG QUÂN</t>
  </si>
  <si>
    <t>CÔNG TY TNHH MTV NGHIỆP PHÁT ĐẠT</t>
  </si>
  <si>
    <t>CÔNG TY TNHH MTV ĐIỆN LẠNH ĐIỆN GIA DỤNG THẢO MY</t>
  </si>
  <si>
    <t>CÔNG TY TNHH MỘT THÀNH VIÊN ĐIỆN LẠNH ĐIỆN TỬ PHƯỚC LỘC PHÁT</t>
  </si>
  <si>
    <t>Công Ty Trách Nhiệm Hữu Hạn Tuyết</t>
  </si>
  <si>
    <t>CÔNG TY TNHH QUỐC BÌNH KIẾN TƯỜNG</t>
  </si>
  <si>
    <t>HỘ KINH DOANH MINH HOÀNG</t>
  </si>
  <si>
    <t>Doanh Nghiệp Tư Nhân Kiến Thiệu</t>
  </si>
  <si>
    <t>HỘ KINH DOANH NGUYỄN THANH THẢO</t>
  </si>
  <si>
    <t>CÔNG TY TNHH HOÀNG KIM</t>
  </si>
  <si>
    <t>CƠ SỞ HÙNG DŨNG</t>
  </si>
  <si>
    <t>HỘ KINH DOANH NGUYỄN THỊ MỘNG NGỌC</t>
  </si>
  <si>
    <t>HỘ KINH DOANH TRẦN THỊ THANH KIỀU</t>
  </si>
  <si>
    <t>HỘ KINH DOANH TRẦN THỊ HƯƠNG</t>
  </si>
  <si>
    <t>CÔNG TY TNHH VIỆT ẤN ALI</t>
  </si>
  <si>
    <t>Công Ty Trách Nhiệm Hữu Hạn Một Thành Viên Thương Mại - Dịch Vụ Nhật Tiến</t>
  </si>
  <si>
    <t>CÔNG TY TNHH CƠ ĐIỆN LẠNH KHÁ THANH TÙNG</t>
  </si>
  <si>
    <t>HỘ KINH DOANH PHONG PHÚ</t>
  </si>
  <si>
    <t>Cửa Hàng Điện Máy - Điện Lạnh Phong Linh</t>
  </si>
  <si>
    <t>HỘ KINH DOANH HUỲNH ĐIỀN TRUNG</t>
  </si>
  <si>
    <t>CÔNG TY TNHH MỘT THÀNH VIÊN PHONG PHÚ LONG AN</t>
  </si>
  <si>
    <t>ĐIỆN MÁY PHƯƠNG</t>
  </si>
  <si>
    <t>Hộ Kinh Doanh Nguyễn Văn Thắng</t>
  </si>
  <si>
    <t>HỘ KINH DOANH LÂM VĂN HOÀNG</t>
  </si>
  <si>
    <t>Công Ty TNHH Thương Mại Và Dịch Vụ Tâm Chín Mươi</t>
  </si>
  <si>
    <t>CÔNG TY TNHH MỘT THÀNH VIÊN THƯƠNG MẠI DỊCH VỤ ĐÔNG KIỀU LONG AN</t>
  </si>
  <si>
    <t>Trung Tâm Điện Máy - Điện Lạnh Tân Phước Thành</t>
  </si>
  <si>
    <t>HỘ KINH DOANH TRƯƠNG MỸ HOA</t>
  </si>
  <si>
    <t>Công Ty TNHH Duy Khanh Bến Tre</t>
  </si>
  <si>
    <t>HỘ KINH DOANH HUYỀN MINH HOÀNG</t>
  </si>
  <si>
    <t>CÔNG TY TNHH MTV THIẾT BỊ ĐIỆN - ĐIỆN LẠNH HOÀNG NGHĨA</t>
  </si>
  <si>
    <t>CƠ ĐIỆN LẠNH NGỌC TẤN</t>
  </si>
  <si>
    <t>CÔNG TY TNHH MỘT THÀNH VIÊN NĂNG LƯỢNG THÀNH BÌNH</t>
  </si>
  <si>
    <t>HỘ KINH DOANH KIM NGỌC VINH</t>
  </si>
  <si>
    <t>HỘ KINH DOANH HỒ TRÍ CUỘC</t>
  </si>
  <si>
    <t>CÔNG TY TNHH THƯƠNG MẠI DỊCH VỤ KỸ NGHỆ LẠNH TRỌNG TÍN</t>
  </si>
  <si>
    <t>HỘ KINH DOANH NGUYỄN VĂN SANG</t>
  </si>
  <si>
    <t>CÔNG TY TNHH THẢO AN LT</t>
  </si>
  <si>
    <t>Cửa hàng kim khí điện máy Thảo</t>
  </si>
  <si>
    <t>CÔNG TY TNHH CƠ ĐIỆN LẠNH PHÚC LONG</t>
  </si>
  <si>
    <t>Cửa Hàng Kim Khí Điện Máy Tỷ Kim Hoa</t>
  </si>
  <si>
    <t>ĐIỆN TỬ THÀNH CÔNG</t>
  </si>
  <si>
    <t>CÔNG TY TNHH KT M&amp;E</t>
  </si>
  <si>
    <t>ĐIỆN MÁY NỘI THẤT ANH TUẤN</t>
  </si>
  <si>
    <t>CTY TNHH MTV THANH ĐẠT PLAZA</t>
  </si>
  <si>
    <t>Công ty TNHH Cơ Điện Lạnh Khang Đạt</t>
  </si>
  <si>
    <t>CÔNG TY TNHH TM DV NGÔI NHÀ XANH TPC</t>
  </si>
  <si>
    <t>CÔNG TY TNHH MỘT THÀNH VIÊN SIÊU THỊ ĐIỆN MÁY - NỘI THẤT THÀNH LỘC</t>
  </si>
  <si>
    <t>Công ty TNHH Siêu Thị Điện Máy Nội Thất Trung Thảo</t>
  </si>
  <si>
    <t>Cửa hàng Điện lạnh Trọng Cường</t>
  </si>
  <si>
    <t>CÔNG TY CỔ PHẦN ĐIỆN LẠNH VÀ XÂY DỰNG HOÀNG LONG</t>
  </si>
  <si>
    <t>Công Ty TNHH Một Thành Viên Thương Mại Dịch Vụ Linh Thuận Phong</t>
  </si>
  <si>
    <t>CÔNG TY TNHH THƯƠNG MẠI - DỊCH VỤ ĐIỆN LẠNH KHANG PHƯỚC</t>
  </si>
  <si>
    <t>CÔNG TY TNHH THƯƠNG MẠI DỊCH VỤ TRƯỜNG HÀO PHÁT</t>
  </si>
  <si>
    <t>Công ty TNHH Bảo Hành Điện Lạnh Điện Tử Bình Dương</t>
  </si>
  <si>
    <t>Cửa hàng Điện tử Điện lạnh Bích Ngọc</t>
  </si>
  <si>
    <t>HỘ KINH DOANH TRẦN CHÁNH THÀNH</t>
  </si>
  <si>
    <t>Chi nhánh Công ty TNHH Phượng Hoàng</t>
  </si>
  <si>
    <t>CÔNG TY TNHH THƯƠNG MẠI DỊCH VỤ KỸ THUẬT CƠ ĐIỆN LẠNH PHÚ SỸ</t>
  </si>
  <si>
    <t>CÔNG TY TNHH THƯƠNG MẠI DỊCH VỤ KỸ THUẬT CHƯƠNG MINH TRÍ</t>
  </si>
  <si>
    <t>Công ty TNHH Thương Mại Dịch Vụ Phong Phú Phát</t>
  </si>
  <si>
    <t>Công ty TNHH Quốc Việt</t>
  </si>
  <si>
    <t>Công Ty TNHH Một Thành Viên Máy Móc Thiết Bị Điện Lạnh Thành Trung</t>
  </si>
  <si>
    <t>Công Ty TNHH Điện Máy Điện Lạnh Trung Tính</t>
  </si>
  <si>
    <t>Công Ty TNHH Siêu Thị Điện Máy Phương Hồng</t>
  </si>
  <si>
    <t>Công Ty TNHH Industrial One</t>
  </si>
  <si>
    <t>CỬA HÀNG NAM THỊNH</t>
  </si>
  <si>
    <t>NGUYỄN VĂN NAM</t>
  </si>
  <si>
    <t>CN Công ty Cổ Phần Mạng Trực Tuyến Meta</t>
  </si>
  <si>
    <t>CÔNG TY TNHH THƯƠNG MẠI ĐIỆN TỬ KIM LONG</t>
  </si>
  <si>
    <t>CÔNG TY TNHH HAHA VN</t>
  </si>
  <si>
    <t>CÔNG TY TNHH PHƯƠNG NAM WATER</t>
  </si>
  <si>
    <t>CÔNG TY TNHH THƯƠNG MẠI JTRUE - CHI NHÁNH THÀNH PHỐ HỒ CHÍ MINH</t>
  </si>
  <si>
    <t>Công ty TNHH Một Thành Viên Thương Mại Điện Tử D&amp;K</t>
  </si>
  <si>
    <t>HỘ KINH DOANH ĐIỆN MÁY GIÁ KHO</t>
  </si>
  <si>
    <t>CÔNG TY TNHH ĐẦU TƯ TMDV ĐẠI PHÚC</t>
  </si>
  <si>
    <t>HỘ KINH DOANH FUJI HOME</t>
  </si>
  <si>
    <t>CÔNG TY TNHH MTV TRANG TRÍ NỘI THẤT PHAN HOÀNG GIA</t>
  </si>
  <si>
    <t>Cửa Hàng Điện Máy Hải Linh</t>
  </si>
  <si>
    <t>Nguyen Dinh Thuy My</t>
  </si>
  <si>
    <t>C110011</t>
  </si>
  <si>
    <t>CÔNG TY TNHH KIMBERLY - CLARK VIỆT NAM</t>
  </si>
  <si>
    <t>Thai Quoc Thanh</t>
  </si>
  <si>
    <t>C120031</t>
  </si>
  <si>
    <t>Le Anh Tam</t>
  </si>
  <si>
    <t>Công ty TNHH II-VI Việt Nam</t>
  </si>
  <si>
    <t>C192343</t>
  </si>
  <si>
    <t>CÔNG TY CỔ PHẦN ĐẦU TƯ VÀ PHÁT TRIỂN DỊCH VỤ CITIGYM</t>
  </si>
  <si>
    <t>C170544</t>
  </si>
  <si>
    <t>CÔNG TY TNHH AEON VIỆT NAM</t>
  </si>
  <si>
    <t>Nguyen Thi Le Thanh</t>
  </si>
  <si>
    <t>C110742</t>
  </si>
  <si>
    <t>CÔNG TY TNHH CHUYỂN PHÁT NHANH DHL - VNPT</t>
  </si>
  <si>
    <t>Ha Khac Linh</t>
  </si>
  <si>
    <t>Vo Tan Dat</t>
  </si>
  <si>
    <t>Cao Thanh Long</t>
  </si>
  <si>
    <t>C130245</t>
  </si>
  <si>
    <t>To Van Binh</t>
  </si>
  <si>
    <t>HỘ KINH DOANH 216</t>
  </si>
  <si>
    <t>Nguyen Thi Yen D3M &lt;yen.nguyen2@daikin.com.vn&gt;</t>
  </si>
  <si>
    <t>Doan The Dang Khoa &lt;dangkhoa.doan@daikin.com.vn&gt;</t>
  </si>
  <si>
    <t>C170523</t>
  </si>
  <si>
    <t>Công Ty TNHH Một Thành Viên An Phú - Chi Nhánh An Phú Plaza</t>
  </si>
  <si>
    <t>Do Ngoc Chau &lt;ngocchau.do@daikin.com.vn&gt;</t>
  </si>
  <si>
    <t>Huynh Ngoc Hoanh</t>
  </si>
  <si>
    <t>C110152</t>
  </si>
  <si>
    <t>CÔNG TY CỔ PHẦN DỊCH VỤ VÀ KỸ THUẬT CƠ ĐIỆN LẠNH R.E.E</t>
  </si>
  <si>
    <t>C130021</t>
  </si>
  <si>
    <t>CÔNG TY CỔ PHẦN SÀI GÒN GIVRAL</t>
  </si>
  <si>
    <t>C110227</t>
  </si>
  <si>
    <t>C110800</t>
  </si>
  <si>
    <t>C172925</t>
  </si>
  <si>
    <t>C192281</t>
  </si>
  <si>
    <t>C192420</t>
  </si>
  <si>
    <t>C200634</t>
  </si>
  <si>
    <t>C210681</t>
  </si>
  <si>
    <t>C210728</t>
  </si>
  <si>
    <t>C210741</t>
  </si>
  <si>
    <t>C211996</t>
  </si>
  <si>
    <t>C220064</t>
  </si>
  <si>
    <t>C220835</t>
  </si>
  <si>
    <t>C222023</t>
  </si>
  <si>
    <t>C222251</t>
  </si>
  <si>
    <t>C222418</t>
  </si>
  <si>
    <t>C230076</t>
  </si>
  <si>
    <t>C230110</t>
  </si>
  <si>
    <t>C230181</t>
  </si>
  <si>
    <t>C230229</t>
  </si>
  <si>
    <t>C230259</t>
  </si>
  <si>
    <t>C231094</t>
  </si>
  <si>
    <t>C232009</t>
  </si>
  <si>
    <t>C152028</t>
  </si>
  <si>
    <t>C240043</t>
  </si>
  <si>
    <t>C211844</t>
  </si>
  <si>
    <t>C220822</t>
  </si>
  <si>
    <t>C221782</t>
  </si>
  <si>
    <t>C222033</t>
  </si>
  <si>
    <t>C230487</t>
  </si>
  <si>
    <t>C230888</t>
  </si>
  <si>
    <t>C131213</t>
  </si>
  <si>
    <t>C180083</t>
  </si>
  <si>
    <t>C182948</t>
  </si>
  <si>
    <t>C192121</t>
  </si>
  <si>
    <t>C210183</t>
  </si>
  <si>
    <t>C211493</t>
  </si>
  <si>
    <t>C222370</t>
  </si>
  <si>
    <t>C230134</t>
  </si>
  <si>
    <t>C230760</t>
  </si>
  <si>
    <t>C230795</t>
  </si>
  <si>
    <t>C230812</t>
  </si>
  <si>
    <t>C231185</t>
  </si>
  <si>
    <t>C231343</t>
  </si>
  <si>
    <t>C231641</t>
  </si>
  <si>
    <t>C230409</t>
  </si>
  <si>
    <t>C140864</t>
  </si>
  <si>
    <t>C230381</t>
  </si>
  <si>
    <t>C230843</t>
  </si>
  <si>
    <t>C230480</t>
  </si>
  <si>
    <t>C230614</t>
  </si>
  <si>
    <t>C110319</t>
  </si>
  <si>
    <t>C161995</t>
  </si>
  <si>
    <t>C191321</t>
  </si>
  <si>
    <t>C230129</t>
  </si>
  <si>
    <t>C230276</t>
  </si>
  <si>
    <t>C230869</t>
  </si>
  <si>
    <t>C231272</t>
  </si>
  <si>
    <t>C231450</t>
  </si>
  <si>
    <t>C231875</t>
  </si>
  <si>
    <t>C231854</t>
  </si>
  <si>
    <t>C231900</t>
  </si>
  <si>
    <t>C232039</t>
  </si>
  <si>
    <t>C232066</t>
  </si>
  <si>
    <t>C240270</t>
  </si>
  <si>
    <t>Công ty TNHH TM DV An Phú Hưng</t>
  </si>
  <si>
    <t>Công Ty TNHH Thương Mại Và Dịch Vụ Hiệp Phan</t>
  </si>
  <si>
    <t>CÔNG TY TNHH MỘT THÀNH VIÊN THƯƠNG MẠI DỊCH VỤ NGỌC ĐỨC LỘC PHÁT</t>
  </si>
  <si>
    <t>CÔNG TY TNHH CƠ ĐIỆN LẠNH HACO</t>
  </si>
  <si>
    <t>CÔNG TY TNHH THƯƠNG MẠI DỊCH VỤ CÔNG NGHỆ PHÚC DUY KHANG</t>
  </si>
  <si>
    <t>Cửa hàng điện máy Hùng</t>
  </si>
  <si>
    <t>CÔNG TY TNHH THƯƠNG MẠI &amp; DỊCH VỤ TÀI NGỌC NGÔ NGUYỄN</t>
  </si>
  <si>
    <t>CÔNG TY CỔ PHẦN DỊCH VỤ KỸ THUẬT PHƯƠNG ĐÔNG</t>
  </si>
  <si>
    <t>HỘ KINH DOANH PHẠM THÙY HƯƠNG</t>
  </si>
  <si>
    <t>ĐIỆN MÁY - ĐIỆN LẠNH – ĐIỆN GIA DỤNG – BÁCH HÓA TỔNG HỢP ĐỨC PHÁT</t>
  </si>
  <si>
    <t>CÔNG TY TNHH ĐIỆN TỬ ĐIỆN LẠNH NGỌC HUY PHÁT</t>
  </si>
  <si>
    <t>CÔNG TY TNHH MTV THƯƠNG MẠI DỊCH VỤ &amp; ỨNG DỤNG RADA 247</t>
  </si>
  <si>
    <t>CÔNG TY TNHH SIÊU THỊ ĐIỆN MÁY ĐIỆN LẠNH TRUNG THẢO</t>
  </si>
  <si>
    <t>CÔNG TY TNHH THƯƠNG MẠI CƠ ĐIỆN LẠNH GIA PHÚ</t>
  </si>
  <si>
    <t>CÔNG TY TNHH CƠ ĐIỆN LẠNH NAM LÊ</t>
  </si>
  <si>
    <t>CÔNG TY CỔ PHẦN THƯƠNG MẠI DỊCH VỤ KHÁNH VY HOME</t>
  </si>
  <si>
    <t>CÔNG TY TNHH TM MÁY LẠNH 24H</t>
  </si>
  <si>
    <t>Điện máy Sơn Tâm</t>
  </si>
  <si>
    <t>CÔNG TY TNHH THƯƠNG MẠI DỊCH VỤ ĐIỆN-ĐIỆN LẠNH THANH SƠN</t>
  </si>
  <si>
    <t>CÔNG TY TNHH THƯƠNG MẠI VÀ DỊCH VỤ KỸ THUẬT ĐIỆN LẠNH H.T</t>
  </si>
  <si>
    <t>CÔNG TY TNHH ĐIỆN MÁY Á ĐÔNG</t>
  </si>
  <si>
    <t>CÔNG TY CỔ PHẦN THIẾT KẾ VÀ XÂY DỰNG AN PHÚ LONG</t>
  </si>
  <si>
    <t>CÔNG TY TNHH MTV SIGCO</t>
  </si>
  <si>
    <t>CÔNG TY TNHH TM - KD - DV - ĐIỆN LẠNH - ĐIỆN TỬ TRƯỜNG THỊNH PHÁT</t>
  </si>
  <si>
    <t>CÔNG TY TNHH THƯƠNG MẠI KỸ THUẬT XUẤT NHẬP KHẨU PHÚC KHANG</t>
  </si>
  <si>
    <t>CÔNG TY TNHH THƯƠNG MẠI VÀ DỊCH VỤ CƠ ĐIỆN LẠNH THIÊN TÂM</t>
  </si>
  <si>
    <t>Công Ty TNHH Điện Tử - Điện Lạnh Tiến Hưng Thịnh</t>
  </si>
  <si>
    <t>CÔNG TY TNHH THƯƠNG MẠI VÀ DỊCH VỤ KỸ THUẬT HẢI LONG VÂN</t>
  </si>
  <si>
    <t>CÔNG TY TNHH CƠ ĐIỆN LẠNH CAO VĨ</t>
  </si>
  <si>
    <t>Công ty TNHH Cơ Điện Lạnh Lê Quốc</t>
  </si>
  <si>
    <t>CÔNG TY TNHH THƯƠNG MẠI DỊCH VỤ CƠ ĐIỆN LẠNH QUYẾT CHIẾN</t>
  </si>
  <si>
    <t>CÔNG TY TNHH CƠ ĐIỆN LẠNH MINH PHÚC</t>
  </si>
  <si>
    <t>CÔNG TY CỔ PHẦN PHÂN PHỐI PHƯỚC BÌNH AN</t>
  </si>
  <si>
    <t>CÔNG TY TNHH THƯƠNG MẠI KỸ THUẬT ĐIỆN LẠNH AN THÀNH</t>
  </si>
  <si>
    <t>Công Ty TNHH Thương Mại &amp; Kỹ Thuật Trung Nam Nguyên</t>
  </si>
  <si>
    <t>CÔNG TY TNHH TM DV NGUYỄN LINH</t>
  </si>
  <si>
    <t>CÔNG TY TNHH THƯƠNG MẠI VÀ DỊCH VỤ ĐIỆN LẠNH BIN ĐÔ</t>
  </si>
  <si>
    <t>CÔNG TY TNHH THE CLEAN HOUSE VIỆT NAM</t>
  </si>
  <si>
    <t>CÔNG TY CỔ PHẦN PHÁT TRIỂN SUNWELL</t>
  </si>
  <si>
    <t>CÔNG TY CP GIẢI PHÁP CÔNG NGHỆ THƯƠNG MẠI DỊCH VỤ ELC</t>
  </si>
  <si>
    <t>CÔNG TY CỔ PHẦN DỊCH VỤ TƯ VẤN QUẢN LÝ LÊ PHAN</t>
  </si>
  <si>
    <t>CÔNG TY TNHH XÂY DỰNG THƯƠNG MẠI KỸ THUẬT CƠ ĐIỆN HƯNG PHÁT</t>
  </si>
  <si>
    <t>CÔNG TY TNHH ĐIỆN LẠNH TRƯỜNG PHÁT PLAZA</t>
  </si>
  <si>
    <t>Công ty TNHH TM DV Trường Tiến</t>
  </si>
  <si>
    <t>CÔNG TY TNHH MỘT THÀNH VIÊN CƠ ĐIỆN LẠNH QUÝ TOÀN</t>
  </si>
  <si>
    <t>CÔNG TY TNHH ĐIỆN TỬ ĐIỆN LẠNH HÙNG PHÁT</t>
  </si>
  <si>
    <t>CÔNG TY TNHH NOLO</t>
  </si>
  <si>
    <t>CÔNG TY TNHH SẢN XUẤT THƯƠNG MẠI DỊCH VỤ KING HOUSE</t>
  </si>
  <si>
    <t>CÔNG TY TNHH THƯƠNG MẠI ĐIỆN TỬ LP</t>
  </si>
  <si>
    <t>Doanh Nghiệp Tư Nhân Thu Thanh Minh Ngọc</t>
  </si>
  <si>
    <t xml:space="preserve">CÔNG TY TNHH MTV KỸ THUẬT QUANG THÀNH	</t>
  </si>
  <si>
    <t>CÔNG TY TNHH ĐIỆN LẠNH HUYNH ANH PHÚC</t>
  </si>
  <si>
    <t>Điện máy Cao Bằng</t>
  </si>
  <si>
    <t>Điện Máy Thành Phát</t>
  </si>
  <si>
    <t>CÔNG TY TNHH TM VÀ DV ĐIỆN LẠNH KIM NHẬT PHÁT</t>
  </si>
  <si>
    <t>ĐIỆN TỬ ĐIỆN LẠNH HÙNG THỊNH</t>
  </si>
  <si>
    <t>CÔNG TY TNHH XÂY DỰNG CƠ ĐIỆN HƯNG THỊNH PHÁT</t>
  </si>
  <si>
    <t>CÔNG TY TNHH ENERGY ZONE</t>
  </si>
  <si>
    <t>CÔNG TY TNHH THƯƠNG MẠI DỊCH VỤ KỸ THUẬT AN PHƯƠNG</t>
  </si>
  <si>
    <t>CÔNG TY TNHH THƯƠNG MẠI -DỊCH VỤ TÂN THÀNH HƯNG</t>
  </si>
  <si>
    <t>CÔNG TY TNHH THƯƠNG MẠI DỊCH VỤ KỸ THUẬT VŨ PHONG</t>
  </si>
  <si>
    <t>CÔNG TY TNHH CHÂU HOÀNG MINH NHẬT</t>
  </si>
  <si>
    <t>CÔNG TY CỔ PHẦN DỊCH VỤ PHÂN PHỐI TỔNG HỢP DẦU KHÍ</t>
  </si>
  <si>
    <t>C120714</t>
  </si>
  <si>
    <t>C240277</t>
  </si>
  <si>
    <t>C170409</t>
  </si>
  <si>
    <t>Công ty TNHH Thương Mại VHC</t>
  </si>
  <si>
    <t>CÔNG TY CỔ PHẦN BÁN LẺ KỸ THUẬT SỐ FPT</t>
  </si>
  <si>
    <t>Chi nhánh Đà Nẵng - Công Ty Cổ Phần Vinpearl</t>
  </si>
  <si>
    <t>C141257</t>
  </si>
  <si>
    <t>CÔNG TY CỔ PHẦN ĐẦU TƯ XÂY DỰNG NEWTECONS</t>
  </si>
  <si>
    <t>C231898</t>
  </si>
  <si>
    <t>CÔNG TY CỔ PHẦN TẬP ĐOÀN ĐÈO CẢ</t>
  </si>
  <si>
    <t>Nguyen Hoang Dung; Nguyen Thi Ha Vi</t>
  </si>
  <si>
    <t>Le Van Nhut</t>
  </si>
  <si>
    <t>C222024</t>
  </si>
  <si>
    <t>CÔNG TY TNHH TMDV GIA THÀNH PHÚ QUỐC</t>
  </si>
  <si>
    <t>C232224</t>
  </si>
  <si>
    <t>CÔNG TY CỔ PHẦN THỰC PHẨM DÂN ÔN - CHI NHÁNH MỸ PHƯỚC 3</t>
  </si>
  <si>
    <t>Le Thi Hanh Dung</t>
  </si>
  <si>
    <t>Vo Thi Thu Nguyet</t>
  </si>
  <si>
    <t>Tang Nguyen Thach Thao</t>
  </si>
  <si>
    <t>Nguy Hoang Dung</t>
  </si>
  <si>
    <t>C240639</t>
  </si>
  <si>
    <t>CÔNG TY TNHH DKSH PHARMA VIỆT NAM</t>
  </si>
  <si>
    <t>C172670</t>
  </si>
  <si>
    <t>Công ty Cổ phần Bất Động Sản Syrena Phú Quốc</t>
  </si>
  <si>
    <t>C240367</t>
  </si>
  <si>
    <t>CÔNG TY TNHH KEPPEL EAAS VIỆT NAM</t>
  </si>
  <si>
    <t>C111535</t>
  </si>
  <si>
    <t>Ngân Hàng Thương Mại Cổ Phần Nam Á</t>
  </si>
  <si>
    <t>C110102</t>
  </si>
  <si>
    <t>CÔNG TY TNHH KỸ THUẬT VÀ XÂY DỰNG SANYO VIỆT NAM</t>
  </si>
  <si>
    <t>Nguyen Dang Quoc Anh</t>
  </si>
  <si>
    <t>C110015</t>
  </si>
  <si>
    <t>Tang Huu Huy</t>
  </si>
  <si>
    <t>CÔNG TY TNHH KỸ THUẬT TAIKISHA VIỆT NAM</t>
  </si>
  <si>
    <t>Nguyen Thi Hai Ninh</t>
  </si>
  <si>
    <t>Bui Trong Nam</t>
  </si>
  <si>
    <t>C111206</t>
  </si>
  <si>
    <t>CTCP Tập đoàn Đầu tư Xây dựng Ricons</t>
  </si>
  <si>
    <t>C202314</t>
  </si>
  <si>
    <t>CÔNG TY TNHH THƯƠNG MẠI - ĐIỆN LẠNH VIỆT NHẬT</t>
  </si>
  <si>
    <t>Z3M</t>
  </si>
  <si>
    <t>C180707</t>
  </si>
  <si>
    <t>CÔNG TY TRÁCH NHIỆM HỮU HẠN THIÊN THANH</t>
  </si>
  <si>
    <t>Mai Nhat Phuong</t>
  </si>
  <si>
    <t>B2D</t>
  </si>
  <si>
    <t>OD-2506</t>
  </si>
  <si>
    <t>600tr</t>
  </si>
  <si>
    <t>Vo Thanh Thai</t>
  </si>
  <si>
    <t>S3M/K3S</t>
  </si>
  <si>
    <t>OD-2512</t>
  </si>
  <si>
    <t>220tr</t>
  </si>
  <si>
    <t>Ngày/ Date: 30/09/2024</t>
  </si>
  <si>
    <t>Tháng/ Month: 9/2024</t>
  </si>
  <si>
    <t>Check and stop</t>
  </si>
  <si>
    <t>Ngày kiểm tra/ Checking date:  4/9/2024</t>
  </si>
  <si>
    <t>Ngày kiểm tra/ Checking date:  5/9/2024</t>
  </si>
  <si>
    <t>O2X</t>
  </si>
  <si>
    <t>4 tỷ</t>
  </si>
  <si>
    <t>S2D</t>
  </si>
  <si>
    <t>S3M</t>
  </si>
  <si>
    <t>Mail</t>
  </si>
  <si>
    <t>AOC-7187</t>
  </si>
  <si>
    <t>V2S</t>
  </si>
  <si>
    <t>r</t>
  </si>
  <si>
    <t>Ngày kiểm tra/ Checking date:  6/9/2024</t>
  </si>
  <si>
    <t>Ngày kiểm tra/ Checking date:  10/9/2024</t>
  </si>
  <si>
    <t>Ngày kiểm tra/ Checking date:  11/9/2024</t>
  </si>
  <si>
    <t>AOC-7210</t>
  </si>
  <si>
    <t>10 tỷ</t>
  </si>
  <si>
    <t>Ngày kiểm tra/ Checking date:  12/9/2024</t>
  </si>
  <si>
    <t>CÔNG TY CỔ PHẦN *** (VIETNAM)</t>
  </si>
  <si>
    <t>*** VIETNAM </t>
  </si>
  <si>
    <t>200 bil</t>
  </si>
  <si>
    <t>3 bil</t>
  </si>
  <si>
    <t>5 bil</t>
  </si>
  <si>
    <t>1 bil</t>
  </si>
  <si>
    <t>2 bil</t>
  </si>
  <si>
    <t>1.5 bil</t>
  </si>
  <si>
    <t>10 bil</t>
  </si>
  <si>
    <t>500 mil</t>
  </si>
  <si>
    <t>700 mil</t>
  </si>
  <si>
    <t>4 bil</t>
  </si>
  <si>
    <t>2.9 bil</t>
  </si>
  <si>
    <t>200 mil</t>
  </si>
  <si>
    <t>499 mil</t>
  </si>
  <si>
    <t>20 bil</t>
  </si>
  <si>
    <t>400 mil</t>
  </si>
  <si>
    <t>150 mil</t>
  </si>
  <si>
    <t>300 mil</t>
  </si>
  <si>
    <t>1.2 bil</t>
  </si>
  <si>
    <t>7 bil</t>
  </si>
  <si>
    <t>11 bil</t>
  </si>
  <si>
    <t>100 mil</t>
  </si>
  <si>
    <t>600 mil</t>
  </si>
  <si>
    <t>850 mil</t>
  </si>
  <si>
    <t>250 mil</t>
  </si>
  <si>
    <t>1.7 bil</t>
  </si>
  <si>
    <t>450 mil</t>
  </si>
  <si>
    <t>650 mil</t>
  </si>
  <si>
    <t>350 mil</t>
  </si>
  <si>
    <t>748***</t>
  </si>
  <si>
    <t>754***</t>
  </si>
  <si>
    <t>64482***</t>
  </si>
  <si>
    <t>1327***</t>
  </si>
  <si>
    <t>91248***</t>
  </si>
  <si>
    <t>23810***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</si>
</sst>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 #,##0_);_(* \(#,##0\);_(* &quot;-&quot;??_);_(@_)"/>
    <numFmt numFmtId="165" formatCode="[&gt;999999999.999]#,,,&quot;B&quot;;[&gt;999999.999]#,,&quot;M&quot;;#,##0\ _M"/>
  </numFmts>
  <fonts count="36" x14ac:knownFonts="1">
    <font>
      <sz val="11"/>
      <color theme="1"/>
      <name val="Calibri"/>
      <family val="2"/>
      <scheme val="minor"/>
    </font>
    <font>
      <sz val="11"/>
      <color theme="1"/>
      <name val="Calibri"/>
      <family val="2"/>
      <scheme val="minor"/>
    </font>
    <font>
      <sz val="11"/>
      <color theme="1"/>
      <name val="Times New Roman"/>
      <family val="1"/>
    </font>
    <font>
      <b/>
      <sz val="9"/>
      <color indexed="81"/>
      <name val="Tahoma"/>
      <family val="2"/>
    </font>
    <font>
      <sz val="9"/>
      <color indexed="81"/>
      <name val="Tahoma"/>
      <family val="2"/>
    </font>
    <font>
      <b/>
      <sz val="11"/>
      <color theme="1"/>
      <name val="Times New Roman"/>
      <family val="1"/>
    </font>
    <font>
      <sz val="11"/>
      <name val="Times New Roman"/>
      <family val="1"/>
    </font>
    <font>
      <b/>
      <sz val="12"/>
      <color theme="1"/>
      <name val="Times New Roman"/>
      <family val="1"/>
    </font>
    <font>
      <i/>
      <sz val="11"/>
      <color theme="1"/>
      <name val="Times New Roman"/>
      <family val="1"/>
    </font>
    <font>
      <b/>
      <i/>
      <sz val="11"/>
      <color theme="1"/>
      <name val="Times New Roman"/>
      <family val="1"/>
    </font>
    <font>
      <b/>
      <i/>
      <sz val="12"/>
      <color theme="1"/>
      <name val="Times New Roman"/>
      <family val="1"/>
    </font>
    <font>
      <b/>
      <sz val="16"/>
      <color theme="1"/>
      <name val="Times New Roman"/>
      <family val="1"/>
    </font>
    <font>
      <b/>
      <i/>
      <u/>
      <sz val="11"/>
      <color theme="1"/>
      <name val="Times New Roman"/>
      <family val="1"/>
    </font>
    <font>
      <b/>
      <i/>
      <sz val="12"/>
      <color rgb="FF0000FF"/>
      <name val="Times New Roman"/>
      <family val="1"/>
    </font>
    <font>
      <sz val="11"/>
      <color theme="1"/>
      <name val="Calibri"/>
      <family val="2"/>
    </font>
    <font>
      <i/>
      <sz val="11"/>
      <color rgb="FF000000"/>
      <name val="Times New Roman"/>
      <family val="1"/>
    </font>
    <font>
      <i/>
      <sz val="11"/>
      <color rgb="FF0000FF"/>
      <name val="Times New Roman"/>
      <family val="1"/>
    </font>
    <font>
      <b/>
      <i/>
      <sz val="11"/>
      <color rgb="FF000000"/>
      <name val="Times New Roman"/>
      <family val="1"/>
    </font>
    <font>
      <i/>
      <sz val="11"/>
      <color rgb="FFFF0000"/>
      <name val="Times New Roman"/>
      <family val="1"/>
    </font>
    <font>
      <b/>
      <sz val="14"/>
      <color rgb="FF000000"/>
      <name val="Times New Roman"/>
      <family val="1"/>
    </font>
    <font>
      <b/>
      <sz val="11"/>
      <color rgb="FF000000"/>
      <name val="Times New Roman"/>
      <family val="1"/>
    </font>
    <font>
      <b/>
      <i/>
      <sz val="11"/>
      <color rgb="FF0000FF"/>
      <name val="Times New Roman"/>
      <family val="1"/>
    </font>
    <font>
      <b/>
      <sz val="11"/>
      <name val="Times New Roman"/>
      <family val="1"/>
    </font>
    <font>
      <sz val="11"/>
      <color theme="0"/>
      <name val="Times New Roman"/>
      <family val="1"/>
    </font>
    <font>
      <sz val="11"/>
      <color rgb="FF001A33"/>
      <name val="Segoe UI"/>
      <family val="2"/>
    </font>
    <font>
      <b/>
      <i/>
      <u/>
      <sz val="11"/>
      <color rgb="FF0000FF"/>
      <name val="Times New Roman"/>
      <family val="1"/>
    </font>
    <font>
      <b/>
      <sz val="12"/>
      <name val="Times New Roman"/>
      <family val="1"/>
    </font>
    <font>
      <b/>
      <sz val="14"/>
      <color theme="1"/>
      <name val="Times New Roman"/>
      <family val="1"/>
    </font>
    <font>
      <i/>
      <sz val="12"/>
      <name val="Times New Roman"/>
      <family val="1"/>
    </font>
    <font>
      <b/>
      <i/>
      <sz val="12"/>
      <name val="Times New Roman"/>
      <family val="1"/>
    </font>
    <font>
      <sz val="11"/>
      <color rgb="FF000000"/>
      <name val="Times New Roman"/>
      <family val="1"/>
    </font>
    <font>
      <sz val="8"/>
      <color rgb="FF000000"/>
      <name val="Segoe UI"/>
      <family val="2"/>
    </font>
    <font>
      <sz val="8"/>
      <name val="Calibri"/>
      <family val="2"/>
      <scheme val="minor"/>
    </font>
    <font>
      <sz val="10"/>
      <color theme="1"/>
      <name val="Times New Roman"/>
      <family val="1"/>
    </font>
    <font>
      <sz val="11"/>
      <color rgb="FF000000"/>
      <name val="Aptos Narrow"/>
      <family val="2"/>
    </font>
    <font>
      <b/>
      <sz val="10"/>
      <color rgb="FF000000"/>
      <name val="Times New Roman"/>
      <family val="1"/>
    </font>
  </fonts>
  <fills count="3">
    <fill>
      <patternFill patternType="none"/>
    </fill>
    <fill>
      <patternFill patternType="gray125"/>
    </fill>
    <fill>
      <patternFill patternType="solid">
        <fgColor theme="0"/>
        <bgColor indexed="64"/>
      </patternFill>
    </fill>
  </fills>
  <borders count="25">
    <border>
      <left/>
      <right/>
      <top/>
      <bottom/>
      <diagonal/>
    </border>
    <border>
      <left/>
      <right/>
      <top style="medium">
        <color indexed="64"/>
      </top>
      <bottom/>
      <diagonal/>
    </border>
    <border>
      <left/>
      <right style="medium">
        <color indexed="64"/>
      </right>
      <top style="medium">
        <color indexed="64"/>
      </top>
      <bottom/>
      <diagonal/>
    </border>
    <border>
      <left style="thin">
        <color indexed="64"/>
      </left>
      <right/>
      <top/>
      <bottom/>
      <diagonal/>
    </border>
    <border>
      <left/>
      <right style="medium">
        <color indexed="64"/>
      </right>
      <top/>
      <bottom/>
      <diagonal/>
    </border>
    <border>
      <left style="thin">
        <color auto="1"/>
      </left>
      <right style="thin">
        <color auto="1"/>
      </right>
      <top style="thin">
        <color auto="1"/>
      </top>
      <bottom style="thin">
        <color auto="1"/>
      </bottom>
      <diagonal/>
    </border>
    <border>
      <left style="thin">
        <color indexed="64"/>
      </left>
      <right style="thin">
        <color indexed="64"/>
      </right>
      <top style="hair">
        <color indexed="64"/>
      </top>
      <bottom style="hair">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hair">
        <color auto="1"/>
      </bottom>
      <diagonal/>
    </border>
  </borders>
  <cellStyleXfs count="2">
    <xf numFmtId="0" fontId="0" fillId="0" borderId="0"/>
    <xf numFmtId="43" fontId="1" fillId="0" borderId="0" applyFont="0" applyFill="0" applyBorder="0" applyAlignment="0" applyProtection="0"/>
  </cellStyleXfs>
  <cellXfs count="151">
    <xf numFmtId="0" fontId="0" fillId="0" borderId="0" xfId="0"/>
    <xf numFmtId="0" fontId="5" fillId="0" borderId="0" xfId="0" applyFont="1" applyAlignment="1">
      <alignment horizontal="center" vertical="center"/>
    </xf>
    <xf numFmtId="16" fontId="6" fillId="0" borderId="6" xfId="0" applyNumberFormat="1" applyFont="1" applyBorder="1" applyAlignment="1">
      <alignment horizontal="left" vertical="center" wrapText="1"/>
    </xf>
    <xf numFmtId="43" fontId="5" fillId="0" borderId="0" xfId="1" applyFont="1" applyAlignment="1">
      <alignment horizontal="center" vertical="center"/>
    </xf>
    <xf numFmtId="0" fontId="2" fillId="0" borderId="0" xfId="0" applyFont="1" applyAlignment="1">
      <alignment horizontal="center" vertical="center"/>
    </xf>
    <xf numFmtId="0" fontId="2" fillId="2" borderId="0" xfId="0" applyFont="1" applyFill="1" applyAlignment="1">
      <alignment vertical="center"/>
    </xf>
    <xf numFmtId="0" fontId="2" fillId="0" borderId="0" xfId="0" applyFont="1" applyAlignment="1">
      <alignment vertical="center"/>
    </xf>
    <xf numFmtId="0" fontId="2" fillId="2" borderId="1" xfId="0" applyFont="1" applyFill="1" applyBorder="1" applyAlignment="1">
      <alignment vertical="center"/>
    </xf>
    <xf numFmtId="0" fontId="8" fillId="2" borderId="2" xfId="0" applyFont="1" applyFill="1" applyBorder="1" applyAlignment="1">
      <alignment horizontal="right" vertical="center"/>
    </xf>
    <xf numFmtId="0" fontId="10" fillId="2" borderId="3" xfId="0" applyFont="1" applyFill="1" applyBorder="1" applyAlignment="1">
      <alignment vertical="center"/>
    </xf>
    <xf numFmtId="0" fontId="8" fillId="2" borderId="4" xfId="0" applyFont="1" applyFill="1" applyBorder="1" applyAlignment="1">
      <alignment vertical="center"/>
    </xf>
    <xf numFmtId="0" fontId="10" fillId="2" borderId="3" xfId="0" applyFont="1" applyFill="1" applyBorder="1" applyAlignment="1">
      <alignment horizontal="center" vertical="center"/>
    </xf>
    <xf numFmtId="0" fontId="10" fillId="2" borderId="0" xfId="0" applyFont="1" applyFill="1" applyAlignment="1">
      <alignment horizontal="center" vertical="center"/>
    </xf>
    <xf numFmtId="0" fontId="10" fillId="2" borderId="4" xfId="0" applyFont="1" applyFill="1" applyBorder="1" applyAlignment="1">
      <alignment horizontal="center" vertical="center"/>
    </xf>
    <xf numFmtId="0" fontId="5" fillId="2" borderId="5" xfId="0" applyFont="1" applyFill="1" applyBorder="1" applyAlignment="1">
      <alignment horizontal="center" vertical="center" wrapText="1"/>
    </xf>
    <xf numFmtId="0" fontId="2" fillId="2" borderId="3" xfId="0" applyFont="1" applyFill="1" applyBorder="1" applyAlignment="1">
      <alignment vertical="center"/>
    </xf>
    <xf numFmtId="0" fontId="2" fillId="2" borderId="4" xfId="0" applyFont="1" applyFill="1" applyBorder="1" applyAlignment="1">
      <alignment vertical="center"/>
    </xf>
    <xf numFmtId="0" fontId="8" fillId="2" borderId="0" xfId="0" applyFont="1" applyFill="1" applyAlignment="1">
      <alignment vertical="center"/>
    </xf>
    <xf numFmtId="0" fontId="9" fillId="2" borderId="0" xfId="0" applyFont="1" applyFill="1" applyAlignment="1">
      <alignment vertical="center" wrapText="1"/>
    </xf>
    <xf numFmtId="0" fontId="12" fillId="2" borderId="0" xfId="0" applyFont="1" applyFill="1" applyAlignment="1">
      <alignment vertical="center"/>
    </xf>
    <xf numFmtId="0" fontId="2" fillId="2" borderId="7" xfId="0" applyFont="1" applyFill="1" applyBorder="1" applyAlignment="1">
      <alignment vertical="center"/>
    </xf>
    <xf numFmtId="0" fontId="2" fillId="2" borderId="8" xfId="0" applyFont="1" applyFill="1" applyBorder="1" applyAlignment="1">
      <alignment vertical="center"/>
    </xf>
    <xf numFmtId="0" fontId="2" fillId="2" borderId="9" xfId="0" applyFont="1" applyFill="1" applyBorder="1" applyAlignment="1">
      <alignment vertical="center"/>
    </xf>
    <xf numFmtId="0" fontId="9" fillId="2" borderId="0" xfId="0" applyFont="1" applyFill="1" applyAlignment="1">
      <alignment horizontal="center" vertical="center" wrapText="1"/>
    </xf>
    <xf numFmtId="0" fontId="8" fillId="2" borderId="0" xfId="0" applyFont="1" applyFill="1" applyAlignment="1">
      <alignment horizontal="center" vertical="center"/>
    </xf>
    <xf numFmtId="0" fontId="2" fillId="2" borderId="6" xfId="0" applyFont="1" applyFill="1" applyBorder="1" applyAlignment="1">
      <alignment horizontal="center" vertical="center"/>
    </xf>
    <xf numFmtId="16" fontId="2" fillId="0" borderId="6" xfId="0" applyNumberFormat="1" applyFont="1" applyBorder="1" applyAlignment="1">
      <alignment horizontal="center" vertical="center" wrapText="1"/>
    </xf>
    <xf numFmtId="0" fontId="2" fillId="0" borderId="6" xfId="0" applyFont="1" applyBorder="1" applyAlignment="1">
      <alignment horizontal="center" vertical="center" wrapText="1"/>
    </xf>
    <xf numFmtId="0" fontId="20" fillId="0" borderId="8" xfId="0" applyFont="1" applyBorder="1" applyAlignment="1">
      <alignment horizontal="center" vertical="center"/>
    </xf>
    <xf numFmtId="0" fontId="15" fillId="0" borderId="4" xfId="0" applyFont="1" applyBorder="1" applyAlignment="1">
      <alignment horizontal="right" vertical="center"/>
    </xf>
    <xf numFmtId="14" fontId="2" fillId="0" borderId="0" xfId="0" applyNumberFormat="1" applyFont="1" applyAlignment="1">
      <alignment horizontal="center" vertical="center" wrapText="1"/>
    </xf>
    <xf numFmtId="0" fontId="2" fillId="0" borderId="0" xfId="0" applyFont="1" applyAlignment="1">
      <alignment horizontal="left" vertical="center"/>
    </xf>
    <xf numFmtId="0" fontId="22" fillId="0" borderId="0" xfId="0" applyFont="1" applyAlignment="1">
      <alignment horizontal="center" vertical="center" wrapText="1"/>
    </xf>
    <xf numFmtId="0" fontId="20" fillId="0" borderId="20" xfId="0" applyFont="1" applyBorder="1" applyAlignment="1">
      <alignment horizontal="center" vertical="center" wrapText="1"/>
    </xf>
    <xf numFmtId="0" fontId="21" fillId="0" borderId="21" xfId="0" applyFont="1" applyBorder="1" applyAlignment="1">
      <alignment horizontal="center" vertical="center" wrapText="1"/>
    </xf>
    <xf numFmtId="0" fontId="23" fillId="2" borderId="3" xfId="0" applyFont="1" applyFill="1" applyBorder="1" applyAlignment="1">
      <alignment vertical="center"/>
    </xf>
    <xf numFmtId="0" fontId="5" fillId="0" borderId="0" xfId="0" applyFont="1" applyAlignment="1">
      <alignment vertical="center"/>
    </xf>
    <xf numFmtId="0" fontId="2" fillId="2" borderId="0" xfId="0" applyFont="1" applyFill="1" applyAlignment="1">
      <alignment vertical="center" wrapText="1"/>
    </xf>
    <xf numFmtId="0" fontId="2" fillId="2" borderId="1" xfId="0" applyFont="1" applyFill="1" applyBorder="1" applyAlignment="1">
      <alignment vertical="center" wrapText="1"/>
    </xf>
    <xf numFmtId="0" fontId="10" fillId="2" borderId="0" xfId="0" applyFont="1" applyFill="1" applyAlignment="1">
      <alignment horizontal="center" vertical="center" wrapText="1"/>
    </xf>
    <xf numFmtId="0" fontId="2" fillId="2" borderId="8" xfId="0" applyFont="1" applyFill="1" applyBorder="1" applyAlignment="1">
      <alignment vertical="center" wrapText="1"/>
    </xf>
    <xf numFmtId="0" fontId="24" fillId="0" borderId="0" xfId="0" applyFont="1" applyAlignment="1">
      <alignment wrapText="1"/>
    </xf>
    <xf numFmtId="0" fontId="2" fillId="0" borderId="19" xfId="0" applyFont="1" applyBorder="1" applyAlignment="1">
      <alignment horizontal="left" vertical="center" wrapText="1"/>
    </xf>
    <xf numFmtId="0" fontId="0" fillId="0" borderId="10" xfId="0" applyBorder="1" applyAlignment="1">
      <alignment vertical="center"/>
    </xf>
    <xf numFmtId="0" fontId="0" fillId="0" borderId="1" xfId="0" applyBorder="1" applyAlignment="1">
      <alignment vertical="center"/>
    </xf>
    <xf numFmtId="0" fontId="0" fillId="0" borderId="1" xfId="0" applyBorder="1" applyAlignment="1">
      <alignment vertical="center" wrapText="1"/>
    </xf>
    <xf numFmtId="0" fontId="0" fillId="0" borderId="2" xfId="0" applyBorder="1" applyAlignment="1">
      <alignment vertical="center"/>
    </xf>
    <xf numFmtId="0" fontId="0" fillId="0" borderId="0" xfId="0" applyAlignment="1">
      <alignment vertical="center"/>
    </xf>
    <xf numFmtId="0" fontId="7" fillId="0" borderId="11" xfId="0" applyFont="1" applyBorder="1" applyAlignment="1">
      <alignment horizontal="left" vertical="center"/>
    </xf>
    <xf numFmtId="0" fontId="0" fillId="0" borderId="0" xfId="0" applyAlignment="1">
      <alignment vertical="center" wrapText="1"/>
    </xf>
    <xf numFmtId="0" fontId="13" fillId="0" borderId="11" xfId="0" applyFont="1" applyBorder="1" applyAlignment="1">
      <alignment horizontal="left" vertical="center"/>
    </xf>
    <xf numFmtId="0" fontId="18" fillId="0" borderId="4" xfId="0" applyFont="1" applyBorder="1" applyAlignment="1">
      <alignment horizontal="right" vertical="center"/>
    </xf>
    <xf numFmtId="0" fontId="0" fillId="0" borderId="11" xfId="0" applyBorder="1" applyAlignment="1">
      <alignment vertical="center"/>
    </xf>
    <xf numFmtId="0" fontId="0" fillId="0" borderId="4" xfId="0" applyBorder="1" applyAlignment="1">
      <alignment vertical="center"/>
    </xf>
    <xf numFmtId="0" fontId="0" fillId="0" borderId="0" xfId="0" applyAlignment="1">
      <alignment horizontal="right" vertical="center"/>
    </xf>
    <xf numFmtId="0" fontId="7" fillId="0" borderId="4" xfId="0" applyFont="1" applyBorder="1" applyAlignment="1">
      <alignment horizontal="right" vertical="center"/>
    </xf>
    <xf numFmtId="0" fontId="14" fillId="0" borderId="0" xfId="0" applyFont="1" applyAlignment="1">
      <alignment vertical="center"/>
    </xf>
    <xf numFmtId="0" fontId="0" fillId="0" borderId="12" xfId="0" applyBorder="1" applyAlignment="1">
      <alignment vertical="center"/>
    </xf>
    <xf numFmtId="0" fontId="0" fillId="0" borderId="8" xfId="0" applyBorder="1" applyAlignment="1">
      <alignment vertical="center" wrapText="1"/>
    </xf>
    <xf numFmtId="0" fontId="0" fillId="0" borderId="8" xfId="0" applyBorder="1" applyAlignment="1">
      <alignment vertical="center"/>
    </xf>
    <xf numFmtId="0" fontId="0" fillId="0" borderId="9" xfId="0" applyBorder="1" applyAlignment="1">
      <alignment vertical="center"/>
    </xf>
    <xf numFmtId="16" fontId="2" fillId="0" borderId="0" xfId="0" applyNumberFormat="1" applyFont="1" applyAlignment="1">
      <alignment horizontal="center" vertical="center"/>
    </xf>
    <xf numFmtId="164" fontId="2" fillId="0" borderId="0" xfId="1" applyNumberFormat="1" applyFont="1" applyAlignment="1">
      <alignment vertical="center"/>
    </xf>
    <xf numFmtId="0" fontId="16" fillId="2" borderId="4" xfId="0" applyFont="1" applyFill="1" applyBorder="1" applyAlignment="1">
      <alignment horizontal="right" vertical="center"/>
    </xf>
    <xf numFmtId="164" fontId="2" fillId="2" borderId="6" xfId="1" applyNumberFormat="1" applyFont="1" applyFill="1" applyBorder="1" applyAlignment="1">
      <alignment horizontal="left" vertical="center"/>
    </xf>
    <xf numFmtId="0" fontId="2" fillId="0" borderId="19" xfId="0" applyFont="1" applyBorder="1" applyAlignment="1">
      <alignment horizontal="centerContinuous" vertical="center"/>
    </xf>
    <xf numFmtId="0" fontId="2" fillId="0" borderId="22" xfId="0" applyFont="1" applyBorder="1" applyAlignment="1">
      <alignment horizontal="centerContinuous" vertical="center"/>
    </xf>
    <xf numFmtId="0" fontId="2" fillId="0" borderId="23" xfId="0" applyFont="1" applyBorder="1" applyAlignment="1">
      <alignment horizontal="centerContinuous" vertical="center"/>
    </xf>
    <xf numFmtId="0" fontId="13" fillId="0" borderId="19" xfId="0" applyFont="1" applyBorder="1" applyAlignment="1">
      <alignment horizontal="centerContinuous" vertical="center"/>
    </xf>
    <xf numFmtId="0" fontId="13" fillId="0" borderId="22" xfId="0" applyFont="1" applyBorder="1" applyAlignment="1">
      <alignment horizontal="centerContinuous" vertical="center"/>
    </xf>
    <xf numFmtId="0" fontId="13" fillId="0" borderId="23" xfId="0" applyFont="1" applyBorder="1" applyAlignment="1">
      <alignment horizontal="centerContinuous" vertical="center"/>
    </xf>
    <xf numFmtId="164" fontId="5" fillId="0" borderId="0" xfId="1" applyNumberFormat="1" applyFont="1" applyAlignment="1">
      <alignment horizontal="center" vertical="center"/>
    </xf>
    <xf numFmtId="0" fontId="13" fillId="0" borderId="11" xfId="0" applyFont="1" applyBorder="1" applyAlignment="1">
      <alignment horizontal="center" vertical="center"/>
    </xf>
    <xf numFmtId="0" fontId="2" fillId="0" borderId="0" xfId="0" applyFont="1"/>
    <xf numFmtId="0" fontId="2" fillId="0" borderId="6" xfId="0" applyFont="1" applyBorder="1" applyAlignment="1">
      <alignment horizontal="left" vertical="center" wrapText="1"/>
    </xf>
    <xf numFmtId="0" fontId="2" fillId="0" borderId="0" xfId="0" applyFont="1" applyAlignment="1">
      <alignment wrapText="1"/>
    </xf>
    <xf numFmtId="0" fontId="2" fillId="0" borderId="1" xfId="0" applyFont="1" applyBorder="1"/>
    <xf numFmtId="0" fontId="8" fillId="0" borderId="1" xfId="0" applyFont="1" applyBorder="1" applyAlignment="1">
      <alignment horizontal="right"/>
    </xf>
    <xf numFmtId="0" fontId="2" fillId="0" borderId="2" xfId="0" applyFont="1" applyBorder="1"/>
    <xf numFmtId="0" fontId="18" fillId="0" borderId="0" xfId="0" applyFont="1" applyAlignment="1">
      <alignment horizontal="right"/>
    </xf>
    <xf numFmtId="0" fontId="18" fillId="0" borderId="4" xfId="0" applyFont="1" applyBorder="1"/>
    <xf numFmtId="0" fontId="13" fillId="0" borderId="11" xfId="0" applyFont="1" applyBorder="1" applyAlignment="1">
      <alignment horizontal="center"/>
    </xf>
    <xf numFmtId="0" fontId="13" fillId="0" borderId="0" xfId="0" applyFont="1" applyAlignment="1">
      <alignment horizontal="center"/>
    </xf>
    <xf numFmtId="0" fontId="5" fillId="0" borderId="0" xfId="0" applyFont="1" applyAlignment="1">
      <alignment horizontal="left" vertical="center"/>
    </xf>
    <xf numFmtId="0" fontId="13" fillId="0" borderId="4" xfId="0" applyFont="1" applyBorder="1" applyAlignment="1">
      <alignment horizontal="center"/>
    </xf>
    <xf numFmtId="0" fontId="5" fillId="0" borderId="5" xfId="0" applyFont="1" applyBorder="1" applyAlignment="1">
      <alignment horizontal="center" vertical="center" wrapText="1"/>
    </xf>
    <xf numFmtId="0" fontId="2" fillId="0" borderId="4" xfId="0" applyFont="1" applyBorder="1" applyAlignment="1">
      <alignment vertical="center"/>
    </xf>
    <xf numFmtId="14" fontId="28" fillId="0" borderId="5" xfId="0" applyNumberFormat="1" applyFont="1" applyBorder="1" applyAlignment="1">
      <alignment horizontal="center" vertical="center"/>
    </xf>
    <xf numFmtId="0" fontId="29" fillId="0" borderId="5" xfId="0" applyFont="1" applyBorder="1" applyAlignment="1">
      <alignment horizontal="center"/>
    </xf>
    <xf numFmtId="0" fontId="13" fillId="0" borderId="5" xfId="0" applyFont="1" applyBorder="1" applyAlignment="1">
      <alignment horizontal="center" vertical="center"/>
    </xf>
    <xf numFmtId="0" fontId="2" fillId="0" borderId="4" xfId="0" applyFont="1" applyBorder="1"/>
    <xf numFmtId="0" fontId="2" fillId="0" borderId="11" xfId="0" applyFont="1" applyBorder="1"/>
    <xf numFmtId="0" fontId="5" fillId="0" borderId="0" xfId="0" applyFont="1" applyAlignment="1">
      <alignment horizontal="center"/>
    </xf>
    <xf numFmtId="0" fontId="28" fillId="0" borderId="5" xfId="0" applyFont="1" applyBorder="1" applyAlignment="1">
      <alignment horizontal="center" vertical="center" wrapText="1"/>
    </xf>
    <xf numFmtId="0" fontId="9" fillId="2" borderId="4" xfId="0" applyFont="1" applyFill="1" applyBorder="1" applyAlignment="1">
      <alignment horizontal="center" vertical="center"/>
    </xf>
    <xf numFmtId="0" fontId="30" fillId="0" borderId="0" xfId="0" applyFont="1" applyAlignment="1">
      <alignment horizontal="left" vertical="center"/>
    </xf>
    <xf numFmtId="49" fontId="2" fillId="2" borderId="0" xfId="0" applyNumberFormat="1" applyFont="1" applyFill="1" applyAlignment="1">
      <alignment vertical="center"/>
    </xf>
    <xf numFmtId="0" fontId="29" fillId="0" borderId="5" xfId="0" applyFont="1" applyBorder="1" applyAlignment="1">
      <alignment horizontal="center" wrapText="1"/>
    </xf>
    <xf numFmtId="14" fontId="2" fillId="0" borderId="0" xfId="0" applyNumberFormat="1" applyFont="1" applyAlignment="1">
      <alignment vertical="center"/>
    </xf>
    <xf numFmtId="0" fontId="2" fillId="0" borderId="0" xfId="0" applyFont="1" applyAlignment="1">
      <alignment vertical="center" wrapText="1"/>
    </xf>
    <xf numFmtId="164" fontId="2" fillId="0" borderId="0" xfId="1" applyNumberFormat="1" applyFont="1"/>
    <xf numFmtId="0" fontId="5" fillId="2" borderId="24" xfId="0" applyFont="1" applyFill="1" applyBorder="1" applyAlignment="1">
      <alignment horizontal="center" vertical="center" wrapText="1"/>
    </xf>
    <xf numFmtId="165" fontId="2" fillId="0" borderId="0" xfId="0" applyNumberFormat="1" applyFont="1"/>
    <xf numFmtId="0" fontId="5" fillId="2" borderId="24" xfId="1" applyNumberFormat="1" applyFont="1" applyFill="1" applyBorder="1" applyAlignment="1">
      <alignment horizontal="center" vertical="center" wrapText="1"/>
    </xf>
    <xf numFmtId="0" fontId="2" fillId="0" borderId="6" xfId="1" applyNumberFormat="1" applyFont="1" applyBorder="1"/>
    <xf numFmtId="0" fontId="2" fillId="0" borderId="0" xfId="1" applyNumberFormat="1" applyFont="1"/>
    <xf numFmtId="164" fontId="2" fillId="0" borderId="0" xfId="1" applyNumberFormat="1" applyFont="1" applyAlignment="1">
      <alignment vertical="center" wrapText="1"/>
    </xf>
    <xf numFmtId="0" fontId="33" fillId="0" borderId="0" xfId="0" applyFont="1"/>
    <xf numFmtId="1" fontId="5" fillId="2" borderId="24" xfId="0" applyNumberFormat="1" applyFont="1" applyFill="1" applyBorder="1" applyAlignment="1">
      <alignment horizontal="center" vertical="center" wrapText="1"/>
    </xf>
    <xf numFmtId="1" fontId="2" fillId="0" borderId="6" xfId="0" applyNumberFormat="1" applyFont="1" applyBorder="1" applyAlignment="1">
      <alignment horizontal="center" vertical="center" wrapText="1"/>
    </xf>
    <xf numFmtId="1" fontId="2" fillId="0" borderId="0" xfId="0" applyNumberFormat="1" applyFont="1"/>
    <xf numFmtId="0" fontId="34" fillId="0" borderId="0" xfId="0" applyFont="1" applyAlignment="1">
      <alignment vertical="center" wrapText="1"/>
    </xf>
    <xf numFmtId="3" fontId="34" fillId="0" borderId="0" xfId="0" applyNumberFormat="1" applyFont="1" applyAlignment="1">
      <alignment vertical="center" wrapText="1"/>
    </xf>
    <xf numFmtId="0" fontId="8" fillId="2" borderId="0" xfId="0" applyFont="1" applyFill="1" applyAlignment="1">
      <alignment horizontal="left" vertical="center" wrapText="1"/>
    </xf>
    <xf numFmtId="0" fontId="8" fillId="2" borderId="0" xfId="0" applyFont="1" applyFill="1" applyAlignment="1">
      <alignment horizontal="left" vertical="center"/>
    </xf>
    <xf numFmtId="43" fontId="5" fillId="0" borderId="0" xfId="1" applyFont="1" applyAlignment="1">
      <alignment horizontal="center" vertical="center"/>
    </xf>
    <xf numFmtId="0" fontId="11" fillId="2" borderId="3" xfId="0" applyFont="1" applyFill="1" applyBorder="1" applyAlignment="1">
      <alignment horizontal="center" vertical="center"/>
    </xf>
    <xf numFmtId="0" fontId="11" fillId="2" borderId="0" xfId="0" applyFont="1" applyFill="1" applyAlignment="1">
      <alignment horizontal="center" vertical="center"/>
    </xf>
    <xf numFmtId="0" fontId="11" fillId="2" borderId="4" xfId="0" applyFont="1" applyFill="1" applyBorder="1" applyAlignment="1">
      <alignment horizontal="center" vertical="center"/>
    </xf>
    <xf numFmtId="0" fontId="13" fillId="0" borderId="3" xfId="0" applyFont="1" applyBorder="1" applyAlignment="1">
      <alignment horizontal="center" vertical="center"/>
    </xf>
    <xf numFmtId="0" fontId="13" fillId="0" borderId="0" xfId="0" applyFont="1" applyAlignment="1">
      <alignment horizontal="center" vertical="center"/>
    </xf>
    <xf numFmtId="0" fontId="13" fillId="0" borderId="4" xfId="0" applyFont="1" applyBorder="1" applyAlignment="1">
      <alignment horizontal="center" vertical="center"/>
    </xf>
    <xf numFmtId="0" fontId="2" fillId="2" borderId="0" xfId="0" applyFont="1" applyFill="1" applyAlignment="1">
      <alignment vertical="center" wrapText="1"/>
    </xf>
    <xf numFmtId="0" fontId="2" fillId="2" borderId="0" xfId="0" applyFont="1" applyFill="1" applyAlignment="1">
      <alignment vertical="center"/>
    </xf>
    <xf numFmtId="0" fontId="19" fillId="0" borderId="11" xfId="0" applyFont="1" applyBorder="1" applyAlignment="1">
      <alignment horizontal="center" vertical="center"/>
    </xf>
    <xf numFmtId="0" fontId="19" fillId="0" borderId="0" xfId="0" applyFont="1" applyAlignment="1">
      <alignment horizontal="center" vertical="center"/>
    </xf>
    <xf numFmtId="0" fontId="19" fillId="0" borderId="4" xfId="0" applyFont="1" applyBorder="1" applyAlignment="1">
      <alignment horizontal="center" vertical="center"/>
    </xf>
    <xf numFmtId="0" fontId="13" fillId="0" borderId="11" xfId="0" applyFont="1" applyBorder="1" applyAlignment="1">
      <alignment horizontal="center" vertical="center"/>
    </xf>
    <xf numFmtId="0" fontId="20" fillId="0" borderId="13" xfId="0" applyFont="1" applyBorder="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center" vertical="center" wrapText="1"/>
    </xf>
    <xf numFmtId="0" fontId="21" fillId="0" borderId="16" xfId="0" applyFont="1" applyBorder="1" applyAlignment="1">
      <alignment horizontal="center" vertical="center" wrapText="1"/>
    </xf>
    <xf numFmtId="0" fontId="21" fillId="0" borderId="17" xfId="0" applyFont="1" applyBorder="1" applyAlignment="1">
      <alignment horizontal="center" vertical="center" wrapText="1"/>
    </xf>
    <xf numFmtId="0" fontId="21" fillId="0" borderId="18" xfId="0" applyFont="1" applyBorder="1" applyAlignment="1">
      <alignment horizontal="center" vertical="center" wrapText="1"/>
    </xf>
    <xf numFmtId="0" fontId="20" fillId="0" borderId="0" xfId="0" applyFont="1" applyAlignment="1">
      <alignment horizontal="center" vertical="center"/>
    </xf>
    <xf numFmtId="0" fontId="20" fillId="0" borderId="0" xfId="0" applyFont="1" applyAlignment="1">
      <alignment horizontal="center" vertical="center" wrapText="1"/>
    </xf>
    <xf numFmtId="0" fontId="21" fillId="0" borderId="0" xfId="0" applyFont="1" applyAlignment="1">
      <alignment horizontal="center" vertical="center" wrapText="1"/>
    </xf>
    <xf numFmtId="0" fontId="27" fillId="0" borderId="11" xfId="0" applyFont="1" applyBorder="1" applyAlignment="1">
      <alignment horizontal="center"/>
    </xf>
    <xf numFmtId="0" fontId="27" fillId="0" borderId="0" xfId="0" applyFont="1" applyAlignment="1">
      <alignment horizontal="center"/>
    </xf>
    <xf numFmtId="0" fontId="27" fillId="0" borderId="4"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4" xfId="0" applyFont="1" applyBorder="1" applyAlignment="1">
      <alignment horizontal="center"/>
    </xf>
    <xf numFmtId="0" fontId="16" fillId="0" borderId="12" xfId="0" applyFont="1" applyBorder="1" applyAlignment="1">
      <alignment horizontal="center"/>
    </xf>
    <xf numFmtId="0" fontId="16" fillId="0" borderId="8" xfId="0" applyFont="1" applyBorder="1" applyAlignment="1">
      <alignment horizontal="center"/>
    </xf>
    <xf numFmtId="0" fontId="16" fillId="0" borderId="9" xfId="0" applyFont="1" applyBorder="1" applyAlignment="1">
      <alignment horizontal="center"/>
    </xf>
    <xf numFmtId="0" fontId="5" fillId="0" borderId="19" xfId="0" applyFont="1" applyBorder="1" applyAlignment="1">
      <alignment horizontal="center" vertical="center" wrapText="1"/>
    </xf>
    <xf numFmtId="0" fontId="5" fillId="0" borderId="23" xfId="0" applyFont="1" applyBorder="1" applyAlignment="1">
      <alignment horizontal="center" vertical="center" wrapText="1"/>
    </xf>
    <xf numFmtId="0" fontId="13" fillId="0" borderId="19" xfId="0" applyFont="1" applyBorder="1" applyAlignment="1">
      <alignment horizontal="center" vertical="center"/>
    </xf>
    <xf numFmtId="0" fontId="13" fillId="0" borderId="23" xfId="0" applyFont="1" applyBorder="1" applyAlignment="1">
      <alignment horizontal="center" vertical="center"/>
    </xf>
    <xf numFmtId="0" fontId="2" fillId="0" borderId="0" xfId="0" quotePrefix="1" applyFont="1" applyAlignment="1">
      <alignment vertical="center"/>
    </xf>
  </cellXfs>
  <cellStyles count="2">
    <cellStyle name="Comma" xfId="1" builtinId="3"/>
    <cellStyle name="Normal" xfId="0" builtinId="0"/>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9C0006"/>
      </font>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9C0006"/>
      </font>
      <fill>
        <patternFill patternType="none">
          <bgColor auto="1"/>
        </patternFill>
      </fill>
    </dxf>
    <dxf>
      <font>
        <b/>
        <i val="0"/>
        <color rgb="FF9C0006"/>
      </font>
      <fill>
        <patternFill patternType="none">
          <bgColor auto="1"/>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134470</xdr:colOff>
          <xdr:row>0</xdr:row>
          <xdr:rowOff>178732</xdr:rowOff>
        </xdr:from>
        <xdr:to>
          <xdr:col>11</xdr:col>
          <xdr:colOff>313766</xdr:colOff>
          <xdr:row>9</xdr:row>
          <xdr:rowOff>33618</xdr:rowOff>
        </xdr:to>
        <xdr:grpSp>
          <xdr:nvGrpSpPr>
            <xdr:cNvPr id="3" name="Group 2">
              <a:extLst>
                <a:ext uri="{FF2B5EF4-FFF2-40B4-BE49-F238E27FC236}">
                  <a16:creationId xmlns:a16="http://schemas.microsoft.com/office/drawing/2014/main" id="{1AF9D73E-F102-846E-5637-379FA9E8E11B}"/>
                </a:ext>
              </a:extLst>
            </xdr:cNvPr>
            <xdr:cNvGrpSpPr/>
          </xdr:nvGrpSpPr>
          <xdr:grpSpPr>
            <a:xfrm>
              <a:off x="8498541" y="178732"/>
              <a:ext cx="2008096" cy="1728510"/>
              <a:chOff x="8498541" y="178732"/>
              <a:chExt cx="2008096" cy="1728510"/>
            </a:xfrm>
          </xdr:grpSpPr>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9524076" y="1335741"/>
                <a:ext cx="851198" cy="442856"/>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Times New Roman"/>
                    <a:cs typeface="Times New Roman"/>
                  </a:rPr>
                  <a:t>OPEN FORM</a:t>
                </a:r>
              </a:p>
            </xdr:txBody>
          </xdr:sp>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8564615" y="273545"/>
                <a:ext cx="852455" cy="457794"/>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Daily report</a:t>
                </a:r>
              </a:p>
            </xdr:txBody>
          </xdr:sp>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8564615" y="806517"/>
                <a:ext cx="852455" cy="457794"/>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Delete sheet 5th</a:t>
                </a:r>
              </a:p>
              <a:p>
                <a:pPr algn="ctr" rtl="0">
                  <a:defRPr sz="1000"/>
                </a:pPr>
                <a:endParaRPr lang="en-US" sz="1100" b="0" i="0" u="none" strike="noStrike" baseline="0">
                  <a:solidFill>
                    <a:srgbClr val="000000"/>
                  </a:solidFill>
                  <a:latin typeface="Times New Roman"/>
                  <a:cs typeface="Times New Roman"/>
                </a:endParaRPr>
              </a:p>
            </xdr:txBody>
          </xdr:sp>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8564615" y="1339488"/>
                <a:ext cx="852455" cy="457794"/>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Delete all sheets</a:t>
                </a:r>
              </a:p>
            </xdr:txBody>
          </xdr:sp>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9522819" y="273545"/>
                <a:ext cx="852455" cy="457794"/>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Renew</a:t>
                </a:r>
              </a:p>
            </xdr:txBody>
          </xdr:sp>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9522819" y="804643"/>
                <a:ext cx="852455" cy="457794"/>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Report for  </a:t>
                </a:r>
              </a:p>
              <a:p>
                <a:pPr algn="ctr" rtl="0">
                  <a:defRPr sz="1000"/>
                </a:pPr>
                <a:r>
                  <a:rPr lang="en-US" sz="1100" b="0" i="0" u="none" strike="noStrike" baseline="0">
                    <a:solidFill>
                      <a:srgbClr val="000000"/>
                    </a:solidFill>
                    <a:latin typeface="Times New Roman"/>
                    <a:cs typeface="Times New Roman"/>
                  </a:rPr>
                  <a:t> mail</a:t>
                </a:r>
              </a:p>
            </xdr:txBody>
          </xdr:sp>
          <xdr:sp macro="" textlink="">
            <xdr:nvSpPr>
              <xdr:cNvPr id="1070" name="Group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8498541" y="178732"/>
                <a:ext cx="2008096" cy="172851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Tools</a:t>
                </a:r>
              </a:p>
            </xdr:txBody>
          </xdr:sp>
        </xdr:grpSp>
        <xdr:clientData/>
      </xdr:twoCellAnchor>
    </mc:Choice>
    <mc:Fallback/>
  </mc:AlternateContent>
  <xdr:twoCellAnchor>
    <xdr:from>
      <xdr:col>11</xdr:col>
      <xdr:colOff>537882</xdr:colOff>
      <xdr:row>0</xdr:row>
      <xdr:rowOff>170330</xdr:rowOff>
    </xdr:from>
    <xdr:to>
      <xdr:col>16</xdr:col>
      <xdr:colOff>672352</xdr:colOff>
      <xdr:row>6</xdr:row>
      <xdr:rowOff>125506</xdr:rowOff>
    </xdr:to>
    <xdr:sp macro="" textlink="">
      <xdr:nvSpPr>
        <xdr:cNvPr id="4" name="TextBox 3">
          <a:extLst>
            <a:ext uri="{FF2B5EF4-FFF2-40B4-BE49-F238E27FC236}">
              <a16:creationId xmlns:a16="http://schemas.microsoft.com/office/drawing/2014/main" id="{3CE13A55-D570-2CE0-427B-3EB36D484237}"/>
            </a:ext>
          </a:extLst>
        </xdr:cNvPr>
        <xdr:cNvSpPr txBox="1"/>
      </xdr:nvSpPr>
      <xdr:spPr>
        <a:xfrm>
          <a:off x="10730753" y="170330"/>
          <a:ext cx="4580964" cy="1210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r>
            <a:rPr lang="en-US" sz="1100" b="1"/>
            <a:t>Daily report</a:t>
          </a:r>
          <a:r>
            <a:rPr lang="en-US" sz="1100"/>
            <a:t>: To create daily report form sheet 'Mau'</a:t>
          </a:r>
        </a:p>
        <a:p>
          <a:r>
            <a:rPr lang="en-US" sz="1100"/>
            <a:t>- </a:t>
          </a:r>
          <a:r>
            <a:rPr lang="en-US" sz="1100" b="1"/>
            <a:t>Renew: </a:t>
          </a:r>
          <a:r>
            <a:rPr lang="en-US" sz="1100"/>
            <a:t>To renew with blank information </a:t>
          </a:r>
        </a:p>
        <a:p>
          <a:r>
            <a:rPr lang="en-US" sz="1100"/>
            <a:t>- </a:t>
          </a:r>
          <a:r>
            <a:rPr lang="en-US" sz="1100" b="1"/>
            <a:t>Delete sheet 5th: </a:t>
          </a:r>
          <a:r>
            <a:rPr lang="en-US" sz="1100"/>
            <a:t>To delete sheet 5th when It's wrong</a:t>
          </a:r>
        </a:p>
        <a:p>
          <a:r>
            <a:rPr lang="en-US" sz="1100"/>
            <a:t>- </a:t>
          </a:r>
          <a:r>
            <a:rPr lang="en-US" sz="1100" b="1"/>
            <a:t>Report for mail: </a:t>
          </a:r>
          <a:r>
            <a:rPr lang="en-US" sz="1100"/>
            <a:t>To create a new file with necessory information for mail</a:t>
          </a:r>
        </a:p>
        <a:p>
          <a:r>
            <a:rPr lang="en-US" sz="1100"/>
            <a:t>- </a:t>
          </a:r>
          <a:r>
            <a:rPr lang="en-US" sz="1100" b="1"/>
            <a:t>Delete all sheets</a:t>
          </a:r>
          <a:r>
            <a:rPr lang="en-US" sz="1100"/>
            <a:t>: To delete all sheets frm sheet 5th</a:t>
          </a:r>
        </a:p>
        <a:p>
          <a:r>
            <a:rPr lang="en-US" sz="1100"/>
            <a:t>- </a:t>
          </a:r>
          <a:r>
            <a:rPr lang="en-US" sz="1100" b="1"/>
            <a:t>Open form</a:t>
          </a:r>
          <a:r>
            <a:rPr lang="en-US" sz="1100"/>
            <a:t>: To open Input data 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3A4FB-6543-49FB-9964-FDDEEF5D041C}">
  <sheetPr codeName="Sheet1"/>
  <dimension ref="A1:BA117"/>
  <sheetViews>
    <sheetView tabSelected="1" zoomScale="85" zoomScaleNormal="85" workbookViewId="0">
      <pane xSplit="14" ySplit="10" topLeftCell="O11" activePane="bottomRight" state="frozen"/>
      <selection pane="topRight" activeCell="O1" sqref="O1"/>
      <selection pane="bottomLeft" activeCell="A11" sqref="A11"/>
      <selection pane="bottomRight" activeCell="L18" sqref="L18"/>
    </sheetView>
  </sheetViews>
  <sheetFormatPr defaultColWidth="9.109375" defaultRowHeight="14.4" x14ac:dyDescent="0.3"/>
  <cols>
    <col min="1" max="1" width="1.33203125" customWidth="1"/>
    <col min="2" max="2" width="2.33203125" customWidth="1"/>
    <col min="3" max="3" width="10.33203125" customWidth="1"/>
    <col min="4" max="4" width="23.5546875" customWidth="1"/>
    <col min="5" max="5" width="40.6640625" customWidth="1"/>
    <col min="6" max="6" width="18.5546875" customWidth="1"/>
    <col min="7" max="7" width="22.5546875" customWidth="1"/>
    <col min="8" max="8" width="2.6640625" customWidth="1"/>
    <col min="9" max="9" width="8.88671875" customWidth="1"/>
    <col min="10" max="10" width="7.6640625" bestFit="1" customWidth="1"/>
    <col min="11" max="11" width="10" customWidth="1"/>
    <col min="12" max="12" width="14.33203125" bestFit="1" customWidth="1"/>
    <col min="13" max="13" width="11.33203125" bestFit="1" customWidth="1"/>
    <col min="14" max="14" width="11.109375" bestFit="1" customWidth="1"/>
    <col min="15" max="15" width="11.5546875" customWidth="1"/>
    <col min="16" max="16" width="16.44140625" bestFit="1" customWidth="1"/>
    <col min="17" max="17" width="23.5546875" bestFit="1" customWidth="1"/>
    <col min="18" max="18" width="16" customWidth="1"/>
    <col min="19" max="19" width="10.109375" customWidth="1"/>
    <col min="20" max="20" width="11.5546875" customWidth="1"/>
    <col min="21" max="21" width="23" customWidth="1"/>
  </cols>
  <sheetData>
    <row r="1" spans="1:53" s="6" customFormat="1" thickBot="1" x14ac:dyDescent="0.35">
      <c r="A1" s="96"/>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row>
    <row r="2" spans="1:53" s="6" customFormat="1" ht="15.6" x14ac:dyDescent="0.3">
      <c r="A2" s="96"/>
      <c r="B2" s="48" t="s">
        <v>1173</v>
      </c>
      <c r="C2" s="7"/>
      <c r="D2" s="7"/>
      <c r="E2" s="38"/>
      <c r="F2" s="7"/>
      <c r="G2" s="7"/>
      <c r="H2" s="8" t="s">
        <v>7</v>
      </c>
      <c r="I2" s="4"/>
      <c r="J2" s="4"/>
      <c r="K2" s="4"/>
      <c r="L2" s="62"/>
      <c r="M2" s="150"/>
    </row>
    <row r="3" spans="1:53" s="6" customFormat="1" ht="16.2" x14ac:dyDescent="0.3">
      <c r="A3" s="96"/>
      <c r="B3" s="50" t="s">
        <v>1174</v>
      </c>
      <c r="C3" s="5"/>
      <c r="D3" s="5"/>
      <c r="E3" s="37"/>
      <c r="F3" s="5"/>
      <c r="G3" s="5"/>
      <c r="H3" s="63" t="s">
        <v>0</v>
      </c>
      <c r="I3" s="4"/>
      <c r="J3" s="4"/>
      <c r="K3" s="4"/>
      <c r="L3" s="62"/>
    </row>
    <row r="4" spans="1:53" s="6" customFormat="1" ht="16.2" x14ac:dyDescent="0.3">
      <c r="A4" s="96"/>
      <c r="B4" s="9"/>
      <c r="C4" s="5"/>
      <c r="D4" s="5"/>
      <c r="E4" s="37"/>
      <c r="F4" s="5"/>
      <c r="G4" s="5"/>
      <c r="H4" s="10"/>
      <c r="I4" s="4"/>
      <c r="J4" s="4"/>
      <c r="K4" s="4"/>
      <c r="L4" s="62"/>
      <c r="N4" s="98"/>
      <c r="O4" s="98"/>
    </row>
    <row r="5" spans="1:53" s="6" customFormat="1" ht="20.399999999999999" x14ac:dyDescent="0.3">
      <c r="A5" s="96"/>
      <c r="B5" s="116" t="s">
        <v>1</v>
      </c>
      <c r="C5" s="117"/>
      <c r="D5" s="117"/>
      <c r="E5" s="117"/>
      <c r="F5" s="117"/>
      <c r="G5" s="117"/>
      <c r="H5" s="118"/>
      <c r="I5" s="4"/>
      <c r="J5" s="4"/>
      <c r="K5" s="4"/>
      <c r="L5" s="62"/>
      <c r="M5" s="99"/>
      <c r="N5" s="99"/>
    </row>
    <row r="6" spans="1:53" s="6" customFormat="1" ht="16.2" x14ac:dyDescent="0.25">
      <c r="A6" s="96"/>
      <c r="B6" s="119" t="s">
        <v>2</v>
      </c>
      <c r="C6" s="120"/>
      <c r="D6" s="120"/>
      <c r="E6" s="120"/>
      <c r="F6" s="120"/>
      <c r="G6" s="120"/>
      <c r="H6" s="121"/>
      <c r="I6" s="4"/>
      <c r="J6" s="4"/>
      <c r="K6" s="4"/>
      <c r="L6" s="62"/>
      <c r="M6" s="106"/>
      <c r="N6" s="107"/>
      <c r="O6" s="73"/>
    </row>
    <row r="7" spans="1:53" s="6" customFormat="1" ht="16.2" x14ac:dyDescent="0.25">
      <c r="A7" s="96"/>
      <c r="B7" s="11"/>
      <c r="C7" s="12"/>
      <c r="D7" s="12"/>
      <c r="E7" s="39"/>
      <c r="F7" s="12"/>
      <c r="G7" s="12"/>
      <c r="H7" s="13"/>
      <c r="I7" s="4"/>
      <c r="J7" s="4"/>
      <c r="K7" s="4"/>
      <c r="L7" s="62"/>
      <c r="N7" s="107"/>
    </row>
    <row r="8" spans="1:53" s="6" customFormat="1" ht="16.2" x14ac:dyDescent="0.3">
      <c r="A8" s="96"/>
      <c r="B8" s="11"/>
      <c r="C8" s="12"/>
      <c r="D8" s="12"/>
      <c r="E8" s="39" t="str">
        <f>+"Tháng/ Month: "&amp;RIGHT($F$91,7)</f>
        <v>Tháng/ Month: 09/2024</v>
      </c>
      <c r="F8" s="12"/>
      <c r="G8" s="12"/>
      <c r="H8" s="13"/>
      <c r="I8" s="4"/>
      <c r="J8" s="4"/>
      <c r="K8" s="4"/>
      <c r="L8" s="62"/>
    </row>
    <row r="9" spans="1:53" s="6" customFormat="1" ht="16.2" x14ac:dyDescent="0.3">
      <c r="A9" s="96"/>
      <c r="B9" s="11"/>
      <c r="C9" s="12"/>
      <c r="D9" s="12"/>
      <c r="E9" s="39"/>
      <c r="F9" s="12"/>
      <c r="G9" s="12"/>
      <c r="H9" s="13"/>
      <c r="I9" s="4"/>
      <c r="J9" s="4"/>
      <c r="K9" s="4"/>
      <c r="L9" s="62"/>
      <c r="M9" s="115" t="s">
        <v>27</v>
      </c>
      <c r="N9" s="115"/>
      <c r="S9" s="6" t="str">
        <f>+IF(D9="","",IF(K9="Mail","Em mở due cho "&amp;D9&amp;" : "&amp;E9&amp;" ra đơn hàng service ạ","Em mở due cho "&amp;D9&amp;" : "&amp;E9&amp;" ra đơn hàng "&amp;TEXT(L9,"#,##0")&amp;" từ ngày "&amp;DAY(M9)&amp;"/"&amp;MONTH(M9)&amp;" đến ngày "&amp;DAY(N9)&amp;"/"&amp;MONTH(N9)&amp;" ạ ("&amp;K9&amp;")"))</f>
        <v/>
      </c>
      <c r="T9" s="95" t="str">
        <f>+IF(D9="","",IF( K9="Mail","Dear chị Điệp,"&amp;CHAR(10)&amp;CHAR(10)&amp;"Nhờ chị approve giúp em để mở due cho khách hàng "&amp;D9&amp;" : "&amp;E9&amp;CHAR(10)&amp;"Nợ quá hạn của "&amp;I9&amp;": "&amp;TEXT(F9,"0,000")&amp;" (Quá hạn từ "&amp;A9&amp;")"&amp;CHAR(10)&amp;"Đơn hàng service đã thanh toán tiền mặt chuyển khoản ạ"&amp;CHAR(10)&amp;CHAR(10)&amp;"Dear chị Hà/ chị Dung/ Chị Hoa"&amp;CHAR(10)&amp;"HO mở due để ra đơn hàng của service, em thông tin đến team Hà Nội ạ"&amp;CHAR(10)&amp;CHAR(10)&amp;"Em cảm ơn chị"&amp;CHAR(10)&amp;"Em Thăng","Chị xem giúp em đơn mở due này ạ"&amp;CHAR(10)&amp;E9&amp;CHAR(10)&amp;K9))</f>
        <v/>
      </c>
    </row>
    <row r="10" spans="1:53" s="6" customFormat="1" ht="35.25" customHeight="1" x14ac:dyDescent="0.3">
      <c r="A10" s="96"/>
      <c r="B10" s="11"/>
      <c r="C10" s="14" t="s">
        <v>32</v>
      </c>
      <c r="D10" s="14" t="s">
        <v>33</v>
      </c>
      <c r="E10" s="14" t="s">
        <v>34</v>
      </c>
      <c r="F10" s="14" t="s">
        <v>35</v>
      </c>
      <c r="G10" s="14" t="s">
        <v>36</v>
      </c>
      <c r="H10" s="94"/>
      <c r="I10" s="1" t="s">
        <v>3</v>
      </c>
      <c r="J10" s="1" t="s">
        <v>4</v>
      </c>
      <c r="K10" s="1" t="s">
        <v>6</v>
      </c>
      <c r="L10" s="71" t="s">
        <v>5</v>
      </c>
      <c r="M10" s="3" t="s">
        <v>25</v>
      </c>
      <c r="N10" s="3" t="s">
        <v>26</v>
      </c>
      <c r="O10" s="3" t="s">
        <v>30</v>
      </c>
      <c r="P10" s="36" t="s">
        <v>169</v>
      </c>
      <c r="Q10" s="36" t="s">
        <v>29</v>
      </c>
      <c r="R10" s="36" t="s">
        <v>31</v>
      </c>
      <c r="S10" s="36"/>
    </row>
    <row r="11" spans="1:53" s="6" customFormat="1" ht="27.6" x14ac:dyDescent="0.3">
      <c r="A11" s="96"/>
      <c r="B11" s="35"/>
      <c r="C11" s="26">
        <v>45534</v>
      </c>
      <c r="D11" s="27" t="s">
        <v>107</v>
      </c>
      <c r="E11" s="2" t="str">
        <f>IF(D11&lt;&gt;"",VLOOKUP($D11,Data!$A:$B,2,0),"")</f>
        <v>Công ty TNHH MTV TM DV Phú Thịnh Hưng</v>
      </c>
      <c r="F11" s="64" t="s">
        <v>1203</v>
      </c>
      <c r="G11" s="25">
        <f>COUNTIF($D$11:$D$123,D11)</f>
        <v>1</v>
      </c>
      <c r="H11" s="16"/>
      <c r="I11" s="4" t="s">
        <v>1147</v>
      </c>
      <c r="J11" s="4" t="s">
        <v>1147</v>
      </c>
      <c r="K11" s="4" t="s">
        <v>1148</v>
      </c>
      <c r="L11" s="62" t="s">
        <v>1149</v>
      </c>
      <c r="M11" s="30">
        <v>45533</v>
      </c>
      <c r="N11" s="30">
        <v>45557</v>
      </c>
      <c r="P11" s="6" t="s">
        <v>1150</v>
      </c>
      <c r="Q11" s="6" t="s">
        <v>209</v>
      </c>
      <c r="T11" s="95"/>
    </row>
    <row r="12" spans="1:53" s="6" customFormat="1" ht="27.6" x14ac:dyDescent="0.3">
      <c r="A12" s="96"/>
      <c r="B12" s="35"/>
      <c r="C12" s="26">
        <v>45534</v>
      </c>
      <c r="D12" s="27" t="s">
        <v>193</v>
      </c>
      <c r="E12" s="2" t="str">
        <f>IF(D12&lt;&gt;"",VLOOKUP($D12,Data!$A:$B,2,0),"")</f>
        <v>Ngân hàng Thương mại Cổ phần Quốc tế Việt Nam</v>
      </c>
      <c r="F12" s="64" t="s">
        <v>1204</v>
      </c>
      <c r="G12" s="25">
        <f t="shared" ref="G12:G75" si="0">COUNTIF($D$11:$D$123,D12)</f>
        <v>1</v>
      </c>
      <c r="H12" s="16"/>
      <c r="I12" s="4" t="s">
        <v>1151</v>
      </c>
      <c r="J12" s="4" t="s">
        <v>1143</v>
      </c>
      <c r="K12" s="4" t="s">
        <v>1152</v>
      </c>
      <c r="L12" s="62" t="s">
        <v>1153</v>
      </c>
      <c r="M12" s="30">
        <v>45534</v>
      </c>
      <c r="N12" s="30">
        <v>45541</v>
      </c>
      <c r="O12" s="6" t="s">
        <v>1166</v>
      </c>
      <c r="P12" s="6" t="s">
        <v>197</v>
      </c>
      <c r="Q12" s="6" t="s">
        <v>198</v>
      </c>
      <c r="T12" s="95"/>
    </row>
    <row r="13" spans="1:53" s="6" customFormat="1" ht="13.8" x14ac:dyDescent="0.3">
      <c r="A13" s="96"/>
      <c r="B13" s="35"/>
      <c r="C13" s="26">
        <v>45540</v>
      </c>
      <c r="D13" s="27">
        <v>1200021949</v>
      </c>
      <c r="E13" s="2" t="str">
        <f>IF(D13&lt;&gt;"",VLOOKUP($D13,Data!$A:$B,2,0),"")</f>
        <v>CÔNG TY TNHH CAO PHONG</v>
      </c>
      <c r="F13" s="64" t="s">
        <v>1205</v>
      </c>
      <c r="G13" s="25">
        <f t="shared" si="0"/>
        <v>2</v>
      </c>
      <c r="H13" s="16"/>
      <c r="I13" s="4" t="s">
        <v>1159</v>
      </c>
      <c r="J13" s="4" t="s">
        <v>1159</v>
      </c>
      <c r="K13" s="61" t="s">
        <v>1164</v>
      </c>
      <c r="L13" s="62" t="s">
        <v>1160</v>
      </c>
      <c r="M13" s="30">
        <v>45539</v>
      </c>
      <c r="N13" s="30">
        <v>45546</v>
      </c>
      <c r="P13" s="6" t="s">
        <v>159</v>
      </c>
      <c r="Q13" s="6" t="s">
        <v>964</v>
      </c>
      <c r="T13" s="95"/>
    </row>
    <row r="14" spans="1:53" s="6" customFormat="1" ht="13.8" x14ac:dyDescent="0.3">
      <c r="A14" s="96"/>
      <c r="B14" s="35"/>
      <c r="C14" s="26">
        <v>45541</v>
      </c>
      <c r="D14" s="27">
        <v>1200021627</v>
      </c>
      <c r="E14" s="2" t="str">
        <f>IF(D14&lt;&gt;"",VLOOKUP($D14,Data!$A:$B,2,0),"")</f>
        <v>Công ty TNHH Lâm Quang Đại</v>
      </c>
      <c r="F14" s="64" t="s">
        <v>1206</v>
      </c>
      <c r="G14" s="25">
        <f t="shared" si="0"/>
        <v>1</v>
      </c>
      <c r="H14" s="16"/>
      <c r="I14" s="4" t="s">
        <v>1161</v>
      </c>
      <c r="J14" s="4" t="s">
        <v>1162</v>
      </c>
      <c r="K14" s="4" t="s">
        <v>1163</v>
      </c>
      <c r="L14" s="62">
        <v>1277100</v>
      </c>
      <c r="M14" s="30">
        <v>45541</v>
      </c>
      <c r="N14" s="30">
        <v>45541</v>
      </c>
      <c r="P14" s="6" t="s">
        <v>237</v>
      </c>
      <c r="Q14" s="6" t="s">
        <v>158</v>
      </c>
      <c r="T14" s="95"/>
    </row>
    <row r="15" spans="1:53" s="6" customFormat="1" ht="13.8" x14ac:dyDescent="0.3">
      <c r="A15" s="96"/>
      <c r="B15" s="35"/>
      <c r="C15" s="26">
        <v>45541</v>
      </c>
      <c r="D15" s="27">
        <v>1200021790</v>
      </c>
      <c r="E15" s="2" t="str">
        <f>IF(D15&lt;&gt;"",VLOOKUP($D15,Data!$A:$B,2,0),"")</f>
        <v xml:space="preserve">Công ty TNHH Thái Trung </v>
      </c>
      <c r="F15" s="64" t="s">
        <v>1207</v>
      </c>
      <c r="G15" s="25">
        <f t="shared" si="0"/>
        <v>1</v>
      </c>
      <c r="H15" s="16"/>
      <c r="I15" s="4" t="s">
        <v>1165</v>
      </c>
      <c r="J15" s="4" t="s">
        <v>1162</v>
      </c>
      <c r="K15" s="4" t="s">
        <v>1163</v>
      </c>
      <c r="L15" s="62">
        <v>603900</v>
      </c>
      <c r="M15" s="30">
        <v>45541</v>
      </c>
      <c r="N15" s="30">
        <v>45541</v>
      </c>
      <c r="P15" s="6" t="s">
        <v>237</v>
      </c>
      <c r="Q15" s="6" t="s">
        <v>158</v>
      </c>
      <c r="T15" s="95"/>
    </row>
    <row r="16" spans="1:53" s="6" customFormat="1" ht="13.8" x14ac:dyDescent="0.3">
      <c r="A16" s="96"/>
      <c r="B16" s="35"/>
      <c r="C16" s="26">
        <v>45547</v>
      </c>
      <c r="D16" s="27">
        <v>1200021949</v>
      </c>
      <c r="E16" s="2" t="str">
        <f>IF(D16&lt;&gt;"",VLOOKUP($D16,Data!$A:$B,2,0),"")</f>
        <v>CÔNG TY TNHH CAO PHONG</v>
      </c>
      <c r="F16" s="64" t="s">
        <v>1208</v>
      </c>
      <c r="G16" s="25">
        <f t="shared" si="0"/>
        <v>2</v>
      </c>
      <c r="H16" s="16"/>
      <c r="I16" s="4" t="s">
        <v>1159</v>
      </c>
      <c r="J16" s="4" t="s">
        <v>1159</v>
      </c>
      <c r="K16" s="4" t="s">
        <v>1170</v>
      </c>
      <c r="L16" s="62" t="s">
        <v>1171</v>
      </c>
      <c r="M16" s="30">
        <v>45547</v>
      </c>
      <c r="N16" s="30">
        <v>45554</v>
      </c>
      <c r="P16" s="6" t="s">
        <v>159</v>
      </c>
      <c r="Q16" s="6" t="s">
        <v>964</v>
      </c>
      <c r="T16" s="95"/>
    </row>
    <row r="17" spans="1:20" s="6" customFormat="1" ht="13.8" x14ac:dyDescent="0.3">
      <c r="A17" s="96"/>
      <c r="B17" s="35"/>
      <c r="C17" s="26"/>
      <c r="D17" s="27"/>
      <c r="E17" s="2" t="str">
        <f>IF(D17&lt;&gt;"",VLOOKUP($D17,Data!$A:$B,2,0),"")</f>
        <v/>
      </c>
      <c r="F17" s="64"/>
      <c r="G17" s="25">
        <f t="shared" si="0"/>
        <v>0</v>
      </c>
      <c r="H17" s="16"/>
      <c r="I17" s="4"/>
      <c r="J17" s="4"/>
      <c r="K17" s="4"/>
      <c r="L17" s="62"/>
      <c r="M17" s="30"/>
      <c r="N17" s="30"/>
      <c r="T17" s="95"/>
    </row>
    <row r="18" spans="1:20" s="6" customFormat="1" ht="13.8" x14ac:dyDescent="0.3">
      <c r="A18" s="96"/>
      <c r="B18" s="35"/>
      <c r="C18" s="26"/>
      <c r="D18" s="27"/>
      <c r="E18" s="2" t="str">
        <f>IF(D18&lt;&gt;"",VLOOKUP($D18,Data!$A:$B,2,0),"")</f>
        <v/>
      </c>
      <c r="F18" s="64"/>
      <c r="G18" s="25">
        <f t="shared" si="0"/>
        <v>0</v>
      </c>
      <c r="H18" s="16"/>
      <c r="I18" s="4"/>
      <c r="J18" s="4"/>
      <c r="K18" s="4"/>
      <c r="L18" s="62"/>
      <c r="M18" s="30"/>
      <c r="N18" s="30"/>
      <c r="T18" s="95"/>
    </row>
    <row r="19" spans="1:20" s="6" customFormat="1" ht="13.8" x14ac:dyDescent="0.3">
      <c r="A19" s="96"/>
      <c r="B19" s="35"/>
      <c r="C19" s="26"/>
      <c r="D19" s="27"/>
      <c r="E19" s="2" t="str">
        <f>IF(D19&lt;&gt;"",VLOOKUP($D19,Data!$A:$B,2,0),"")</f>
        <v/>
      </c>
      <c r="F19" s="64"/>
      <c r="G19" s="25">
        <f t="shared" si="0"/>
        <v>0</v>
      </c>
      <c r="H19" s="16"/>
      <c r="I19" s="4"/>
      <c r="J19" s="4"/>
      <c r="K19" s="4"/>
      <c r="L19" s="62"/>
      <c r="M19" s="30"/>
      <c r="N19" s="30"/>
      <c r="T19" s="95"/>
    </row>
    <row r="20" spans="1:20" s="6" customFormat="1" ht="13.8" x14ac:dyDescent="0.3">
      <c r="A20" s="96"/>
      <c r="B20" s="35"/>
      <c r="C20" s="26"/>
      <c r="D20" s="27"/>
      <c r="E20" s="2" t="str">
        <f>IF(D20&lt;&gt;"",VLOOKUP($D20,Data!$A:$B,2,0),"")</f>
        <v/>
      </c>
      <c r="F20" s="64"/>
      <c r="G20" s="25">
        <f t="shared" si="0"/>
        <v>0</v>
      </c>
      <c r="H20" s="16"/>
      <c r="I20" s="4"/>
      <c r="J20" s="4"/>
      <c r="K20" s="4"/>
      <c r="L20" s="62"/>
      <c r="M20" s="30"/>
      <c r="N20" s="30"/>
      <c r="T20" s="95"/>
    </row>
    <row r="21" spans="1:20" s="6" customFormat="1" ht="13.8" x14ac:dyDescent="0.3">
      <c r="A21" s="96"/>
      <c r="B21" s="35"/>
      <c r="C21" s="26"/>
      <c r="D21" s="27"/>
      <c r="E21" s="2" t="str">
        <f>IF(D21&lt;&gt;"",VLOOKUP($D21,Data!$A:$B,2,0),"")</f>
        <v/>
      </c>
      <c r="F21" s="64"/>
      <c r="G21" s="25">
        <f t="shared" si="0"/>
        <v>0</v>
      </c>
      <c r="H21" s="16"/>
      <c r="I21" s="4"/>
      <c r="J21" s="4"/>
      <c r="K21" s="4"/>
      <c r="L21" s="62"/>
      <c r="M21" s="30"/>
      <c r="N21" s="30"/>
      <c r="T21" s="95"/>
    </row>
    <row r="22" spans="1:20" s="6" customFormat="1" ht="13.8" x14ac:dyDescent="0.3">
      <c r="A22" s="96"/>
      <c r="B22" s="35"/>
      <c r="C22" s="26"/>
      <c r="D22" s="27"/>
      <c r="E22" s="2" t="str">
        <f>IF(D22&lt;&gt;"",VLOOKUP($D22,Data!$A:$B,2,0),"")</f>
        <v/>
      </c>
      <c r="F22" s="64"/>
      <c r="G22" s="25">
        <f t="shared" si="0"/>
        <v>0</v>
      </c>
      <c r="H22" s="16"/>
      <c r="I22" s="4"/>
      <c r="J22" s="4"/>
      <c r="K22" s="4"/>
      <c r="L22" s="62"/>
      <c r="M22" s="30"/>
      <c r="N22" s="30"/>
      <c r="T22" s="95"/>
    </row>
    <row r="23" spans="1:20" s="6" customFormat="1" ht="13.8" x14ac:dyDescent="0.3">
      <c r="A23" s="96"/>
      <c r="B23" s="35"/>
      <c r="C23" s="26"/>
      <c r="D23" s="27"/>
      <c r="E23" s="2" t="str">
        <f>IF(D23&lt;&gt;"",VLOOKUP($D23,Data!$A:$B,2,0),"")</f>
        <v/>
      </c>
      <c r="F23" s="64"/>
      <c r="G23" s="25">
        <f t="shared" si="0"/>
        <v>0</v>
      </c>
      <c r="H23" s="16"/>
      <c r="I23" s="4"/>
      <c r="J23" s="4"/>
      <c r="K23" s="4"/>
      <c r="L23" s="62"/>
      <c r="M23" s="30"/>
      <c r="N23" s="30"/>
      <c r="T23" s="95"/>
    </row>
    <row r="24" spans="1:20" s="6" customFormat="1" ht="13.8" x14ac:dyDescent="0.3">
      <c r="A24" s="96"/>
      <c r="B24" s="35"/>
      <c r="C24" s="26"/>
      <c r="D24" s="27"/>
      <c r="E24" s="2" t="str">
        <f>IF(D24&lt;&gt;"",VLOOKUP($D24,Data!$A:$B,2,0),"")</f>
        <v/>
      </c>
      <c r="F24" s="64"/>
      <c r="G24" s="25">
        <f t="shared" si="0"/>
        <v>0</v>
      </c>
      <c r="H24" s="16"/>
      <c r="I24" s="4"/>
      <c r="J24" s="4"/>
      <c r="K24" s="4"/>
      <c r="L24" s="62"/>
      <c r="M24" s="30"/>
      <c r="N24" s="30"/>
      <c r="T24" s="95"/>
    </row>
    <row r="25" spans="1:20" s="6" customFormat="1" ht="13.8" x14ac:dyDescent="0.3">
      <c r="A25" s="96"/>
      <c r="B25" s="35"/>
      <c r="C25" s="26"/>
      <c r="D25" s="27"/>
      <c r="E25" s="2" t="str">
        <f>IF(D25&lt;&gt;"",VLOOKUP($D25,Data!$A:$B,2,0),"")</f>
        <v/>
      </c>
      <c r="F25" s="64"/>
      <c r="G25" s="25">
        <f t="shared" si="0"/>
        <v>0</v>
      </c>
      <c r="H25" s="16"/>
      <c r="I25" s="4"/>
      <c r="J25" s="4"/>
      <c r="K25" s="4"/>
      <c r="L25" s="62"/>
      <c r="M25" s="30"/>
      <c r="N25" s="30"/>
      <c r="T25" s="95"/>
    </row>
    <row r="26" spans="1:20" s="6" customFormat="1" ht="13.8" x14ac:dyDescent="0.3">
      <c r="A26" s="96"/>
      <c r="B26" s="35"/>
      <c r="C26" s="26"/>
      <c r="D26" s="27"/>
      <c r="E26" s="2" t="str">
        <f>IF(D26&lt;&gt;"",VLOOKUP($D26,Data!$A:$B,2,0),"")</f>
        <v/>
      </c>
      <c r="F26" s="64"/>
      <c r="G26" s="25">
        <f t="shared" si="0"/>
        <v>0</v>
      </c>
      <c r="H26" s="16"/>
      <c r="I26" s="4"/>
      <c r="J26" s="4"/>
      <c r="K26" s="4"/>
      <c r="L26" s="62"/>
      <c r="M26" s="30"/>
      <c r="N26" s="30"/>
      <c r="T26" s="95"/>
    </row>
    <row r="27" spans="1:20" s="6" customFormat="1" ht="13.8" x14ac:dyDescent="0.3">
      <c r="A27" s="96"/>
      <c r="B27" s="35"/>
      <c r="C27" s="26"/>
      <c r="D27" s="27"/>
      <c r="E27" s="2" t="str">
        <f>IF(D27&lt;&gt;"",VLOOKUP($D27,Data!$A:$B,2,0),"")</f>
        <v/>
      </c>
      <c r="F27" s="64"/>
      <c r="G27" s="25">
        <f t="shared" si="0"/>
        <v>0</v>
      </c>
      <c r="H27" s="16"/>
      <c r="I27" s="4"/>
      <c r="J27" s="4"/>
      <c r="K27" s="4"/>
      <c r="L27" s="62"/>
      <c r="M27" s="30"/>
      <c r="N27" s="30"/>
      <c r="T27" s="95"/>
    </row>
    <row r="28" spans="1:20" s="6" customFormat="1" ht="13.8" x14ac:dyDescent="0.3">
      <c r="A28" s="96"/>
      <c r="B28" s="35"/>
      <c r="C28" s="26"/>
      <c r="D28" s="27"/>
      <c r="E28" s="2" t="str">
        <f>IF(D28&lt;&gt;"",VLOOKUP($D28,Data!$A:$B,2,0),"")</f>
        <v/>
      </c>
      <c r="F28" s="64"/>
      <c r="G28" s="25">
        <f t="shared" si="0"/>
        <v>0</v>
      </c>
      <c r="H28" s="16"/>
      <c r="I28" s="4"/>
      <c r="J28" s="4"/>
      <c r="K28" s="4"/>
      <c r="L28" s="62"/>
      <c r="M28" s="30"/>
      <c r="N28" s="30"/>
      <c r="T28" s="95"/>
    </row>
    <row r="29" spans="1:20" s="6" customFormat="1" ht="13.8" x14ac:dyDescent="0.3">
      <c r="A29" s="96"/>
      <c r="B29" s="35"/>
      <c r="C29" s="26"/>
      <c r="D29" s="27"/>
      <c r="E29" s="2" t="str">
        <f>IF(D29&lt;&gt;"",VLOOKUP($D29,Data!$A:$B,2,0),"")</f>
        <v/>
      </c>
      <c r="F29" s="64"/>
      <c r="G29" s="25">
        <f t="shared" si="0"/>
        <v>0</v>
      </c>
      <c r="H29" s="16"/>
      <c r="I29" s="4"/>
      <c r="J29" s="4"/>
      <c r="K29" s="4"/>
      <c r="L29" s="62"/>
      <c r="M29" s="30"/>
      <c r="N29" s="30"/>
      <c r="T29" s="95"/>
    </row>
    <row r="30" spans="1:20" s="6" customFormat="1" ht="13.8" x14ac:dyDescent="0.3">
      <c r="A30" s="96"/>
      <c r="B30" s="35"/>
      <c r="C30" s="26"/>
      <c r="D30" s="27"/>
      <c r="E30" s="2" t="str">
        <f>IF(D30&lt;&gt;"",VLOOKUP($D30,Data!$A:$B,2,0),"")</f>
        <v/>
      </c>
      <c r="F30" s="64"/>
      <c r="G30" s="25">
        <f t="shared" si="0"/>
        <v>0</v>
      </c>
      <c r="H30" s="16"/>
      <c r="I30" s="4"/>
      <c r="J30" s="4"/>
      <c r="K30" s="4"/>
      <c r="L30" s="62"/>
      <c r="M30" s="30"/>
      <c r="N30" s="30"/>
      <c r="T30" s="95"/>
    </row>
    <row r="31" spans="1:20" s="6" customFormat="1" ht="13.8" x14ac:dyDescent="0.3">
      <c r="A31" s="96"/>
      <c r="B31" s="35"/>
      <c r="C31" s="26"/>
      <c r="D31" s="27"/>
      <c r="E31" s="2" t="str">
        <f>IF(D31&lt;&gt;"",VLOOKUP($D31,Data!$A:$B,2,0),"")</f>
        <v/>
      </c>
      <c r="F31" s="64"/>
      <c r="G31" s="25">
        <f t="shared" si="0"/>
        <v>0</v>
      </c>
      <c r="H31" s="16"/>
      <c r="I31" s="4"/>
      <c r="J31" s="4"/>
      <c r="K31" s="4"/>
      <c r="L31" s="62"/>
      <c r="M31" s="30"/>
      <c r="N31" s="30"/>
      <c r="T31" s="95"/>
    </row>
    <row r="32" spans="1:20" s="6" customFormat="1" ht="13.8" x14ac:dyDescent="0.3">
      <c r="A32" s="96"/>
      <c r="B32" s="35"/>
      <c r="C32" s="26"/>
      <c r="D32" s="27"/>
      <c r="E32" s="2" t="str">
        <f>IF(D32&lt;&gt;"",VLOOKUP($D32,Data!$A:$B,2,0),"")</f>
        <v/>
      </c>
      <c r="F32" s="64"/>
      <c r="G32" s="25">
        <f t="shared" si="0"/>
        <v>0</v>
      </c>
      <c r="H32" s="16"/>
      <c r="I32" s="4"/>
      <c r="J32" s="4"/>
      <c r="K32" s="4"/>
      <c r="L32" s="62"/>
      <c r="M32" s="30"/>
      <c r="N32" s="30"/>
      <c r="T32" s="95"/>
    </row>
    <row r="33" spans="1:20" s="6" customFormat="1" ht="13.8" x14ac:dyDescent="0.3">
      <c r="A33" s="96"/>
      <c r="B33" s="35"/>
      <c r="C33" s="26"/>
      <c r="D33" s="27"/>
      <c r="E33" s="2" t="str">
        <f>IF(D33&lt;&gt;"",VLOOKUP($D33,Data!$A:$B,2,0),"")</f>
        <v/>
      </c>
      <c r="F33" s="64"/>
      <c r="G33" s="25">
        <f t="shared" si="0"/>
        <v>0</v>
      </c>
      <c r="H33" s="16"/>
      <c r="I33" s="4"/>
      <c r="J33" s="4"/>
      <c r="K33" s="4"/>
      <c r="L33" s="62"/>
      <c r="M33" s="30"/>
      <c r="N33" s="30"/>
      <c r="T33" s="95"/>
    </row>
    <row r="34" spans="1:20" s="6" customFormat="1" ht="13.8" x14ac:dyDescent="0.3">
      <c r="A34" s="96"/>
      <c r="B34" s="35"/>
      <c r="C34" s="26"/>
      <c r="D34" s="27"/>
      <c r="E34" s="2" t="str">
        <f>IF(D34&lt;&gt;"",VLOOKUP($D34,Data!$A:$B,2,0),"")</f>
        <v/>
      </c>
      <c r="F34" s="64"/>
      <c r="G34" s="25">
        <f t="shared" si="0"/>
        <v>0</v>
      </c>
      <c r="H34" s="16"/>
      <c r="I34" s="4"/>
      <c r="J34" s="4"/>
      <c r="K34" s="4"/>
      <c r="L34" s="62"/>
      <c r="M34" s="30"/>
      <c r="N34" s="30"/>
      <c r="T34" s="95"/>
    </row>
    <row r="35" spans="1:20" s="6" customFormat="1" ht="13.8" x14ac:dyDescent="0.3">
      <c r="A35" s="96"/>
      <c r="B35" s="35"/>
      <c r="C35" s="26"/>
      <c r="D35" s="27"/>
      <c r="E35" s="2" t="str">
        <f>IF(D35&lt;&gt;"",VLOOKUP($D35,Data!$A:$B,2,0),"")</f>
        <v/>
      </c>
      <c r="F35" s="64"/>
      <c r="G35" s="25">
        <f t="shared" si="0"/>
        <v>0</v>
      </c>
      <c r="H35" s="16"/>
      <c r="I35" s="4"/>
      <c r="J35" s="4"/>
      <c r="K35" s="4"/>
      <c r="L35" s="62"/>
      <c r="M35" s="30"/>
      <c r="N35" s="30"/>
      <c r="T35" s="95"/>
    </row>
    <row r="36" spans="1:20" s="6" customFormat="1" ht="13.8" x14ac:dyDescent="0.3">
      <c r="A36" s="96"/>
      <c r="B36" s="35"/>
      <c r="C36" s="26"/>
      <c r="D36" s="27"/>
      <c r="E36" s="2" t="str">
        <f>IF(D36&lt;&gt;"",VLOOKUP($D36,Data!$A:$B,2,0),"")</f>
        <v/>
      </c>
      <c r="F36" s="64"/>
      <c r="G36" s="25">
        <f t="shared" si="0"/>
        <v>0</v>
      </c>
      <c r="H36" s="16"/>
      <c r="I36" s="4"/>
      <c r="J36" s="4"/>
      <c r="K36" s="4"/>
      <c r="L36" s="62"/>
      <c r="M36" s="30"/>
      <c r="N36" s="30"/>
      <c r="T36" s="95"/>
    </row>
    <row r="37" spans="1:20" s="6" customFormat="1" ht="13.8" x14ac:dyDescent="0.3">
      <c r="A37" s="96"/>
      <c r="B37" s="35"/>
      <c r="C37" s="26"/>
      <c r="D37" s="27"/>
      <c r="E37" s="2" t="str">
        <f>IF(D37&lt;&gt;"",VLOOKUP($D37,Data!$A:$B,2,0),"")</f>
        <v/>
      </c>
      <c r="F37" s="64"/>
      <c r="G37" s="25">
        <f t="shared" si="0"/>
        <v>0</v>
      </c>
      <c r="H37" s="16"/>
      <c r="I37" s="4"/>
      <c r="J37" s="4"/>
      <c r="K37" s="4"/>
      <c r="L37" s="62"/>
      <c r="M37" s="30"/>
      <c r="N37" s="30"/>
      <c r="T37" s="95"/>
    </row>
    <row r="38" spans="1:20" s="6" customFormat="1" ht="13.8" x14ac:dyDescent="0.3">
      <c r="A38" s="96"/>
      <c r="B38" s="35"/>
      <c r="C38" s="26"/>
      <c r="D38" s="27"/>
      <c r="E38" s="2" t="str">
        <f>IF(D38&lt;&gt;"",VLOOKUP($D38,Data!$A:$B,2,0),"")</f>
        <v/>
      </c>
      <c r="F38" s="64"/>
      <c r="G38" s="25">
        <f t="shared" si="0"/>
        <v>0</v>
      </c>
      <c r="H38" s="16"/>
      <c r="I38" s="4"/>
      <c r="J38" s="4"/>
      <c r="K38" s="4"/>
      <c r="L38" s="62"/>
      <c r="M38" s="30"/>
      <c r="N38" s="30"/>
      <c r="T38" s="95"/>
    </row>
    <row r="39" spans="1:20" s="6" customFormat="1" ht="13.8" x14ac:dyDescent="0.3">
      <c r="A39" s="96"/>
      <c r="B39" s="35"/>
      <c r="C39" s="26"/>
      <c r="D39" s="27"/>
      <c r="E39" s="2" t="str">
        <f>IF(D39&lt;&gt;"",VLOOKUP($D39,Data!$A:$B,2,0),"")</f>
        <v/>
      </c>
      <c r="F39" s="64"/>
      <c r="G39" s="25">
        <f t="shared" si="0"/>
        <v>0</v>
      </c>
      <c r="H39" s="16"/>
      <c r="I39" s="4"/>
      <c r="J39" s="4"/>
      <c r="K39" s="4"/>
      <c r="L39" s="62"/>
      <c r="M39" s="30"/>
      <c r="N39" s="30"/>
      <c r="T39" s="95"/>
    </row>
    <row r="40" spans="1:20" s="6" customFormat="1" ht="13.8" x14ac:dyDescent="0.3">
      <c r="A40" s="96"/>
      <c r="B40" s="35"/>
      <c r="C40" s="26"/>
      <c r="D40" s="27"/>
      <c r="E40" s="2" t="str">
        <f>IF(D40&lt;&gt;"",VLOOKUP($D40,Data!$A:$B,2,0),"")</f>
        <v/>
      </c>
      <c r="F40" s="64"/>
      <c r="G40" s="25">
        <f t="shared" si="0"/>
        <v>0</v>
      </c>
      <c r="H40" s="16"/>
      <c r="I40" s="4"/>
      <c r="J40" s="4"/>
      <c r="K40" s="4"/>
      <c r="L40" s="62"/>
      <c r="M40" s="30"/>
      <c r="N40" s="30"/>
      <c r="T40" s="95"/>
    </row>
    <row r="41" spans="1:20" s="6" customFormat="1" ht="13.8" x14ac:dyDescent="0.3">
      <c r="A41" s="96"/>
      <c r="B41" s="35"/>
      <c r="C41" s="26"/>
      <c r="D41" s="27"/>
      <c r="E41" s="2" t="str">
        <f>IF(D41&lt;&gt;"",VLOOKUP($D41,Data!$A:$B,2,0),"")</f>
        <v/>
      </c>
      <c r="F41" s="64"/>
      <c r="G41" s="25">
        <f t="shared" si="0"/>
        <v>0</v>
      </c>
      <c r="H41" s="16"/>
      <c r="I41" s="4"/>
      <c r="J41" s="4"/>
      <c r="K41" s="4"/>
      <c r="L41" s="62"/>
      <c r="M41" s="30"/>
      <c r="N41" s="30"/>
      <c r="T41" s="95"/>
    </row>
    <row r="42" spans="1:20" s="6" customFormat="1" ht="13.8" x14ac:dyDescent="0.3">
      <c r="A42" s="96"/>
      <c r="B42" s="35"/>
      <c r="C42" s="26"/>
      <c r="D42" s="27"/>
      <c r="E42" s="2" t="str">
        <f>IF(D42&lt;&gt;"",VLOOKUP($D42,Data!$A:$B,2,0),"")</f>
        <v/>
      </c>
      <c r="F42" s="64"/>
      <c r="G42" s="25">
        <f t="shared" si="0"/>
        <v>0</v>
      </c>
      <c r="H42" s="16"/>
      <c r="I42" s="4"/>
      <c r="J42" s="4"/>
      <c r="K42" s="4"/>
      <c r="L42" s="62"/>
      <c r="M42" s="30"/>
      <c r="N42" s="30"/>
      <c r="T42" s="95"/>
    </row>
    <row r="43" spans="1:20" s="6" customFormat="1" ht="13.8" x14ac:dyDescent="0.3">
      <c r="A43" s="96"/>
      <c r="B43" s="35"/>
      <c r="C43" s="26"/>
      <c r="D43" s="27"/>
      <c r="E43" s="2" t="str">
        <f>IF(D43&lt;&gt;"",VLOOKUP($D43,Data!$A:$B,2,0),"")</f>
        <v/>
      </c>
      <c r="F43" s="64"/>
      <c r="G43" s="25">
        <f t="shared" si="0"/>
        <v>0</v>
      </c>
      <c r="H43" s="16"/>
      <c r="I43" s="4"/>
      <c r="J43" s="4"/>
      <c r="K43" s="4"/>
      <c r="L43" s="62"/>
      <c r="M43" s="30"/>
      <c r="N43" s="30"/>
      <c r="T43" s="95"/>
    </row>
    <row r="44" spans="1:20" s="6" customFormat="1" ht="13.8" x14ac:dyDescent="0.3">
      <c r="A44" s="96"/>
      <c r="B44" s="35"/>
      <c r="C44" s="26"/>
      <c r="D44" s="27"/>
      <c r="E44" s="2" t="str">
        <f>IF(D44&lt;&gt;"",VLOOKUP($D44,Data!$A:$B,2,0),"")</f>
        <v/>
      </c>
      <c r="F44" s="64"/>
      <c r="G44" s="25">
        <f t="shared" si="0"/>
        <v>0</v>
      </c>
      <c r="H44" s="16"/>
      <c r="I44" s="4"/>
      <c r="J44" s="4"/>
      <c r="K44" s="4"/>
      <c r="L44" s="62"/>
      <c r="M44" s="30"/>
      <c r="N44" s="30"/>
      <c r="T44" s="95"/>
    </row>
    <row r="45" spans="1:20" s="6" customFormat="1" ht="13.8" x14ac:dyDescent="0.3">
      <c r="A45" s="96"/>
      <c r="B45" s="35"/>
      <c r="C45" s="26"/>
      <c r="D45" s="27"/>
      <c r="E45" s="2" t="str">
        <f>IF(D45&lt;&gt;"",VLOOKUP($D45,Data!$A:$B,2,0),"")</f>
        <v/>
      </c>
      <c r="F45" s="64"/>
      <c r="G45" s="25">
        <f t="shared" si="0"/>
        <v>0</v>
      </c>
      <c r="H45" s="16"/>
      <c r="I45" s="4"/>
      <c r="J45" s="4"/>
      <c r="K45" s="4"/>
      <c r="L45" s="62"/>
      <c r="M45" s="30"/>
      <c r="N45" s="30"/>
      <c r="T45" s="95"/>
    </row>
    <row r="46" spans="1:20" s="6" customFormat="1" ht="13.8" x14ac:dyDescent="0.3">
      <c r="A46" s="96"/>
      <c r="B46" s="35"/>
      <c r="C46" s="26"/>
      <c r="D46" s="27"/>
      <c r="E46" s="2" t="str">
        <f>IF(D46&lt;&gt;"",VLOOKUP($D46,Data!$A:$B,2,0),"")</f>
        <v/>
      </c>
      <c r="F46" s="64"/>
      <c r="G46" s="25">
        <f t="shared" si="0"/>
        <v>0</v>
      </c>
      <c r="H46" s="16"/>
      <c r="I46" s="4"/>
      <c r="J46" s="4"/>
      <c r="K46" s="4"/>
      <c r="L46" s="62"/>
      <c r="M46" s="30"/>
      <c r="N46" s="30"/>
      <c r="T46" s="95"/>
    </row>
    <row r="47" spans="1:20" s="6" customFormat="1" ht="13.8" x14ac:dyDescent="0.3">
      <c r="A47" s="96"/>
      <c r="B47" s="35"/>
      <c r="C47" s="26"/>
      <c r="D47" s="27"/>
      <c r="E47" s="2" t="str">
        <f>IF(D47&lt;&gt;"",VLOOKUP($D47,Data!$A:$B,2,0),"")</f>
        <v/>
      </c>
      <c r="F47" s="64"/>
      <c r="G47" s="25">
        <f t="shared" si="0"/>
        <v>0</v>
      </c>
      <c r="H47" s="16"/>
      <c r="I47" s="4"/>
      <c r="J47" s="4"/>
      <c r="K47" s="4"/>
      <c r="L47" s="62"/>
      <c r="M47" s="30"/>
      <c r="N47" s="30"/>
      <c r="T47" s="95"/>
    </row>
    <row r="48" spans="1:20" s="6" customFormat="1" ht="13.8" x14ac:dyDescent="0.3">
      <c r="A48" s="96"/>
      <c r="B48" s="35"/>
      <c r="C48" s="26"/>
      <c r="D48" s="27"/>
      <c r="E48" s="2" t="str">
        <f>IF(D48&lt;&gt;"",VLOOKUP($D48,Data!$A:$B,2,0),"")</f>
        <v/>
      </c>
      <c r="F48" s="64"/>
      <c r="G48" s="25">
        <f t="shared" si="0"/>
        <v>0</v>
      </c>
      <c r="H48" s="16"/>
      <c r="I48" s="4"/>
      <c r="J48" s="4"/>
      <c r="K48" s="4"/>
      <c r="L48" s="62"/>
      <c r="M48" s="30"/>
      <c r="N48" s="30"/>
      <c r="T48" s="95"/>
    </row>
    <row r="49" spans="1:20" s="6" customFormat="1" ht="13.8" x14ac:dyDescent="0.3">
      <c r="A49" s="96"/>
      <c r="B49" s="35"/>
      <c r="C49" s="26"/>
      <c r="D49" s="27"/>
      <c r="E49" s="2" t="str">
        <f>IF(D49&lt;&gt;"",VLOOKUP($D49,Data!$A:$B,2,0),"")</f>
        <v/>
      </c>
      <c r="F49" s="64"/>
      <c r="G49" s="25">
        <f t="shared" si="0"/>
        <v>0</v>
      </c>
      <c r="H49" s="16"/>
      <c r="I49" s="4"/>
      <c r="J49" s="4"/>
      <c r="K49" s="4"/>
      <c r="L49" s="62"/>
      <c r="M49" s="30"/>
      <c r="N49" s="30"/>
      <c r="T49" s="95"/>
    </row>
    <row r="50" spans="1:20" s="6" customFormat="1" ht="13.8" x14ac:dyDescent="0.3">
      <c r="A50" s="96"/>
      <c r="B50" s="35"/>
      <c r="C50" s="26"/>
      <c r="D50" s="27"/>
      <c r="E50" s="2" t="str">
        <f>IF(D50&lt;&gt;"",VLOOKUP($D50,Data!$A:$B,2,0),"")</f>
        <v/>
      </c>
      <c r="F50" s="64"/>
      <c r="G50" s="25">
        <f t="shared" si="0"/>
        <v>0</v>
      </c>
      <c r="H50" s="16"/>
      <c r="I50" s="4"/>
      <c r="J50" s="4"/>
      <c r="K50" s="4"/>
      <c r="L50" s="62"/>
      <c r="M50" s="30"/>
      <c r="N50" s="30"/>
      <c r="T50" s="95"/>
    </row>
    <row r="51" spans="1:20" s="6" customFormat="1" ht="13.8" x14ac:dyDescent="0.3">
      <c r="A51" s="96"/>
      <c r="B51" s="35"/>
      <c r="C51" s="26"/>
      <c r="D51" s="27"/>
      <c r="E51" s="2" t="str">
        <f>IF(D51&lt;&gt;"",VLOOKUP($D51,Data!$A:$B,2,0),"")</f>
        <v/>
      </c>
      <c r="F51" s="64"/>
      <c r="G51" s="25">
        <f t="shared" si="0"/>
        <v>0</v>
      </c>
      <c r="H51" s="16"/>
      <c r="I51" s="4"/>
      <c r="J51" s="4"/>
      <c r="K51" s="4"/>
      <c r="L51" s="62"/>
      <c r="M51" s="30"/>
      <c r="N51" s="30"/>
      <c r="T51" s="95"/>
    </row>
    <row r="52" spans="1:20" s="6" customFormat="1" ht="13.8" x14ac:dyDescent="0.3">
      <c r="A52" s="96"/>
      <c r="B52" s="35"/>
      <c r="C52" s="26"/>
      <c r="D52" s="27"/>
      <c r="E52" s="2" t="str">
        <f>IF(D52&lt;&gt;"",VLOOKUP($D52,Data!$A:$B,2,0),"")</f>
        <v/>
      </c>
      <c r="F52" s="64"/>
      <c r="G52" s="25">
        <f t="shared" si="0"/>
        <v>0</v>
      </c>
      <c r="H52" s="16"/>
      <c r="I52" s="4"/>
      <c r="J52" s="4"/>
      <c r="K52" s="4"/>
      <c r="L52" s="62"/>
      <c r="M52" s="30"/>
      <c r="N52" s="30"/>
      <c r="T52" s="95"/>
    </row>
    <row r="53" spans="1:20" s="6" customFormat="1" ht="13.8" x14ac:dyDescent="0.3">
      <c r="A53" s="96"/>
      <c r="B53" s="35"/>
      <c r="C53" s="26"/>
      <c r="D53" s="27"/>
      <c r="E53" s="2" t="str">
        <f>IF(D53&lt;&gt;"",VLOOKUP($D53,Data!$A:$B,2,0),"")</f>
        <v/>
      </c>
      <c r="F53" s="64"/>
      <c r="G53" s="25">
        <f t="shared" si="0"/>
        <v>0</v>
      </c>
      <c r="H53" s="16"/>
      <c r="I53" s="4"/>
      <c r="J53" s="4"/>
      <c r="K53" s="4"/>
      <c r="L53" s="62"/>
      <c r="M53" s="30"/>
      <c r="N53" s="30"/>
      <c r="T53" s="95"/>
    </row>
    <row r="54" spans="1:20" s="6" customFormat="1" ht="13.8" x14ac:dyDescent="0.3">
      <c r="A54" s="96"/>
      <c r="B54" s="35"/>
      <c r="C54" s="26"/>
      <c r="D54" s="27"/>
      <c r="E54" s="2" t="str">
        <f>IF(D54&lt;&gt;"",VLOOKUP($D54,Data!$A:$B,2,0),"")</f>
        <v/>
      </c>
      <c r="F54" s="64"/>
      <c r="G54" s="25">
        <f t="shared" si="0"/>
        <v>0</v>
      </c>
      <c r="H54" s="16"/>
      <c r="I54" s="4"/>
      <c r="J54" s="4"/>
      <c r="K54" s="4"/>
      <c r="L54" s="62"/>
      <c r="M54" s="30"/>
      <c r="N54" s="30"/>
      <c r="T54" s="95"/>
    </row>
    <row r="55" spans="1:20" s="6" customFormat="1" ht="13.8" x14ac:dyDescent="0.3">
      <c r="A55" s="96"/>
      <c r="B55" s="35"/>
      <c r="C55" s="26"/>
      <c r="D55" s="27"/>
      <c r="E55" s="2" t="str">
        <f>IF(D55&lt;&gt;"",VLOOKUP($D55,Data!$A:$B,2,0),"")</f>
        <v/>
      </c>
      <c r="F55" s="64"/>
      <c r="G55" s="25">
        <f t="shared" si="0"/>
        <v>0</v>
      </c>
      <c r="H55" s="16"/>
      <c r="I55" s="4"/>
      <c r="J55" s="4"/>
      <c r="K55" s="4"/>
      <c r="L55" s="62"/>
      <c r="M55" s="30"/>
      <c r="N55" s="30"/>
      <c r="T55" s="95"/>
    </row>
    <row r="56" spans="1:20" s="6" customFormat="1" ht="13.8" x14ac:dyDescent="0.3">
      <c r="A56" s="96"/>
      <c r="B56" s="35"/>
      <c r="C56" s="26"/>
      <c r="D56" s="27"/>
      <c r="E56" s="2" t="str">
        <f>IF(D56&lt;&gt;"",VLOOKUP($D56,Data!$A:$B,2,0),"")</f>
        <v/>
      </c>
      <c r="F56" s="64"/>
      <c r="G56" s="25">
        <f t="shared" si="0"/>
        <v>0</v>
      </c>
      <c r="H56" s="16"/>
      <c r="I56" s="4"/>
      <c r="J56" s="4"/>
      <c r="K56" s="4"/>
      <c r="L56" s="62"/>
      <c r="M56" s="30"/>
      <c r="N56" s="30"/>
      <c r="T56" s="95"/>
    </row>
    <row r="57" spans="1:20" s="6" customFormat="1" ht="13.8" x14ac:dyDescent="0.3">
      <c r="A57" s="96"/>
      <c r="B57" s="35"/>
      <c r="C57" s="26"/>
      <c r="D57" s="27"/>
      <c r="E57" s="2" t="str">
        <f>IF(D57&lt;&gt;"",VLOOKUP($D57,Data!$A:$B,2,0),"")</f>
        <v/>
      </c>
      <c r="F57" s="64"/>
      <c r="G57" s="25">
        <f t="shared" si="0"/>
        <v>0</v>
      </c>
      <c r="H57" s="16"/>
      <c r="I57" s="4"/>
      <c r="J57" s="4"/>
      <c r="K57" s="4"/>
      <c r="L57" s="62"/>
      <c r="M57" s="30"/>
      <c r="N57" s="30"/>
      <c r="T57" s="95"/>
    </row>
    <row r="58" spans="1:20" s="6" customFormat="1" ht="13.8" x14ac:dyDescent="0.3">
      <c r="A58" s="96"/>
      <c r="B58" s="35"/>
      <c r="C58" s="26"/>
      <c r="D58" s="27"/>
      <c r="E58" s="2" t="str">
        <f>IF(D58&lt;&gt;"",VLOOKUP($D58,Data!$A:$B,2,0),"")</f>
        <v/>
      </c>
      <c r="F58" s="64"/>
      <c r="G58" s="25">
        <f t="shared" si="0"/>
        <v>0</v>
      </c>
      <c r="H58" s="16"/>
      <c r="I58" s="4"/>
      <c r="J58" s="4"/>
      <c r="K58" s="4"/>
      <c r="L58" s="62"/>
      <c r="M58" s="30"/>
      <c r="N58" s="30"/>
      <c r="T58" s="95"/>
    </row>
    <row r="59" spans="1:20" s="6" customFormat="1" ht="13.8" x14ac:dyDescent="0.3">
      <c r="A59" s="96"/>
      <c r="B59" s="35"/>
      <c r="C59" s="26"/>
      <c r="D59" s="27"/>
      <c r="E59" s="2" t="str">
        <f>IF(D59&lt;&gt;"",VLOOKUP($D59,Data!$A:$B,2,0),"")</f>
        <v/>
      </c>
      <c r="F59" s="64"/>
      <c r="G59" s="25">
        <f t="shared" si="0"/>
        <v>0</v>
      </c>
      <c r="H59" s="16"/>
      <c r="I59" s="4"/>
      <c r="J59" s="4"/>
      <c r="K59" s="4"/>
      <c r="L59" s="62"/>
      <c r="M59" s="30"/>
      <c r="N59" s="30"/>
      <c r="T59" s="95"/>
    </row>
    <row r="60" spans="1:20" s="6" customFormat="1" ht="13.8" x14ac:dyDescent="0.3">
      <c r="A60" s="96"/>
      <c r="B60" s="35"/>
      <c r="C60" s="26"/>
      <c r="D60" s="27"/>
      <c r="E60" s="2" t="str">
        <f>IF(D60&lt;&gt;"",VLOOKUP($D60,Data!$A:$B,2,0),"")</f>
        <v/>
      </c>
      <c r="F60" s="64"/>
      <c r="G60" s="25">
        <f t="shared" si="0"/>
        <v>0</v>
      </c>
      <c r="H60" s="16"/>
      <c r="I60" s="4"/>
      <c r="J60" s="4"/>
      <c r="K60" s="4"/>
      <c r="L60" s="62"/>
      <c r="M60" s="30"/>
      <c r="N60" s="30"/>
      <c r="T60" s="95"/>
    </row>
    <row r="61" spans="1:20" s="6" customFormat="1" ht="13.8" x14ac:dyDescent="0.3">
      <c r="A61" s="96"/>
      <c r="B61" s="35"/>
      <c r="C61" s="26"/>
      <c r="D61" s="27"/>
      <c r="E61" s="2" t="str">
        <f>IF(D61&lt;&gt;"",VLOOKUP($D61,Data!$A:$B,2,0),"")</f>
        <v/>
      </c>
      <c r="F61" s="64"/>
      <c r="G61" s="25">
        <f t="shared" si="0"/>
        <v>0</v>
      </c>
      <c r="H61" s="16"/>
      <c r="I61" s="4"/>
      <c r="J61" s="4"/>
      <c r="K61" s="4"/>
      <c r="L61" s="62"/>
      <c r="M61" s="30"/>
      <c r="N61" s="30"/>
      <c r="T61" s="95"/>
    </row>
    <row r="62" spans="1:20" s="6" customFormat="1" ht="13.8" x14ac:dyDescent="0.3">
      <c r="A62" s="96"/>
      <c r="B62" s="35"/>
      <c r="C62" s="26"/>
      <c r="D62" s="27"/>
      <c r="E62" s="2" t="str">
        <f>IF(D62&lt;&gt;"",VLOOKUP($D62,Data!$A:$B,2,0),"")</f>
        <v/>
      </c>
      <c r="F62" s="64"/>
      <c r="G62" s="25">
        <f t="shared" si="0"/>
        <v>0</v>
      </c>
      <c r="H62" s="16"/>
      <c r="I62" s="4"/>
      <c r="J62" s="4"/>
      <c r="K62" s="4"/>
      <c r="L62" s="62"/>
      <c r="M62" s="30"/>
      <c r="N62" s="30"/>
      <c r="T62" s="95"/>
    </row>
    <row r="63" spans="1:20" s="6" customFormat="1" ht="13.8" x14ac:dyDescent="0.3">
      <c r="A63" s="96"/>
      <c r="B63" s="35"/>
      <c r="C63" s="26"/>
      <c r="D63" s="27"/>
      <c r="E63" s="2" t="str">
        <f>IF(D63&lt;&gt;"",VLOOKUP($D63,Data!$A:$B,2,0),"")</f>
        <v/>
      </c>
      <c r="F63" s="64"/>
      <c r="G63" s="25">
        <f t="shared" si="0"/>
        <v>0</v>
      </c>
      <c r="H63" s="16"/>
      <c r="I63" s="4"/>
      <c r="J63" s="4"/>
      <c r="K63" s="4"/>
      <c r="L63" s="62"/>
      <c r="M63" s="30"/>
      <c r="N63" s="30"/>
      <c r="T63" s="95"/>
    </row>
    <row r="64" spans="1:20" s="6" customFormat="1" ht="13.8" x14ac:dyDescent="0.3">
      <c r="A64" s="96"/>
      <c r="B64" s="35"/>
      <c r="C64" s="26"/>
      <c r="D64" s="27"/>
      <c r="E64" s="2" t="str">
        <f>IF(D64&lt;&gt;"",VLOOKUP($D64,Data!$A:$B,2,0),"")</f>
        <v/>
      </c>
      <c r="F64" s="64"/>
      <c r="G64" s="25">
        <f t="shared" si="0"/>
        <v>0</v>
      </c>
      <c r="H64" s="16"/>
      <c r="I64" s="4"/>
      <c r="J64" s="4"/>
      <c r="K64" s="4"/>
      <c r="L64" s="62"/>
      <c r="M64" s="30"/>
      <c r="N64" s="30"/>
      <c r="T64" s="95"/>
    </row>
    <row r="65" spans="1:20" s="6" customFormat="1" ht="13.8" x14ac:dyDescent="0.3">
      <c r="A65" s="96"/>
      <c r="B65" s="35"/>
      <c r="C65" s="26"/>
      <c r="D65" s="27"/>
      <c r="E65" s="2" t="str">
        <f>IF(D65&lt;&gt;"",VLOOKUP($D65,Data!$A:$B,2,0),"")</f>
        <v/>
      </c>
      <c r="F65" s="64"/>
      <c r="G65" s="25">
        <f t="shared" si="0"/>
        <v>0</v>
      </c>
      <c r="H65" s="16"/>
      <c r="I65" s="4"/>
      <c r="J65" s="4"/>
      <c r="K65" s="4"/>
      <c r="L65" s="62"/>
      <c r="M65" s="30"/>
      <c r="N65" s="30"/>
      <c r="T65" s="95"/>
    </row>
    <row r="66" spans="1:20" s="6" customFormat="1" ht="13.8" x14ac:dyDescent="0.3">
      <c r="A66" s="96"/>
      <c r="B66" s="35"/>
      <c r="C66" s="26"/>
      <c r="D66" s="27"/>
      <c r="E66" s="2" t="str">
        <f>IF(D66&lt;&gt;"",VLOOKUP($D66,Data!$A:$B,2,0),"")</f>
        <v/>
      </c>
      <c r="F66" s="64"/>
      <c r="G66" s="25">
        <f t="shared" si="0"/>
        <v>0</v>
      </c>
      <c r="H66" s="16"/>
      <c r="I66" s="4"/>
      <c r="J66" s="4"/>
      <c r="K66" s="4"/>
      <c r="L66" s="62"/>
      <c r="M66" s="30"/>
      <c r="N66" s="30"/>
      <c r="T66" s="95"/>
    </row>
    <row r="67" spans="1:20" s="6" customFormat="1" ht="13.8" x14ac:dyDescent="0.3">
      <c r="A67" s="96"/>
      <c r="B67" s="35"/>
      <c r="C67" s="26"/>
      <c r="D67" s="27"/>
      <c r="E67" s="2" t="str">
        <f>IF(D67&lt;&gt;"",VLOOKUP($D67,Data!$A:$B,2,0),"")</f>
        <v/>
      </c>
      <c r="F67" s="64"/>
      <c r="G67" s="25">
        <f t="shared" si="0"/>
        <v>0</v>
      </c>
      <c r="H67" s="16"/>
      <c r="I67" s="4"/>
      <c r="J67" s="4"/>
      <c r="K67" s="4"/>
      <c r="L67" s="62"/>
      <c r="M67" s="30"/>
      <c r="N67" s="30"/>
      <c r="T67" s="95"/>
    </row>
    <row r="68" spans="1:20" s="6" customFormat="1" ht="13.8" x14ac:dyDescent="0.3">
      <c r="A68" s="96"/>
      <c r="B68" s="35"/>
      <c r="C68" s="26"/>
      <c r="D68" s="27"/>
      <c r="E68" s="2" t="str">
        <f>IF(D68&lt;&gt;"",VLOOKUP($D68,Data!$A:$B,2,0),"")</f>
        <v/>
      </c>
      <c r="F68" s="64"/>
      <c r="G68" s="25">
        <f t="shared" si="0"/>
        <v>0</v>
      </c>
      <c r="H68" s="16"/>
      <c r="I68" s="4"/>
      <c r="J68" s="4"/>
      <c r="K68" s="4"/>
      <c r="L68" s="62"/>
      <c r="M68" s="30"/>
      <c r="N68" s="30"/>
      <c r="T68" s="95"/>
    </row>
    <row r="69" spans="1:20" s="6" customFormat="1" ht="13.8" x14ac:dyDescent="0.3">
      <c r="A69" s="96"/>
      <c r="B69" s="35"/>
      <c r="C69" s="26"/>
      <c r="D69" s="27"/>
      <c r="E69" s="2" t="str">
        <f>IF(D69&lt;&gt;"",VLOOKUP($D69,Data!$A:$B,2,0),"")</f>
        <v/>
      </c>
      <c r="F69" s="64"/>
      <c r="G69" s="25">
        <f t="shared" si="0"/>
        <v>0</v>
      </c>
      <c r="H69" s="16"/>
      <c r="I69" s="4"/>
      <c r="J69" s="4"/>
      <c r="K69" s="4"/>
      <c r="L69" s="62"/>
      <c r="M69" s="30"/>
      <c r="N69" s="30"/>
      <c r="T69" s="95"/>
    </row>
    <row r="70" spans="1:20" s="6" customFormat="1" ht="13.8" x14ac:dyDescent="0.3">
      <c r="A70" s="96"/>
      <c r="B70" s="35"/>
      <c r="C70" s="26"/>
      <c r="D70" s="27"/>
      <c r="E70" s="2" t="str">
        <f>IF(D70&lt;&gt;"",VLOOKUP($D70,Data!$A:$B,2,0),"")</f>
        <v/>
      </c>
      <c r="F70" s="64"/>
      <c r="G70" s="25">
        <f t="shared" si="0"/>
        <v>0</v>
      </c>
      <c r="H70" s="16"/>
      <c r="I70" s="4"/>
      <c r="J70" s="4"/>
      <c r="K70" s="4"/>
      <c r="L70" s="62"/>
      <c r="M70" s="30"/>
      <c r="N70" s="30"/>
      <c r="T70" s="95"/>
    </row>
    <row r="71" spans="1:20" s="6" customFormat="1" ht="13.8" x14ac:dyDescent="0.3">
      <c r="A71" s="96"/>
      <c r="B71" s="35"/>
      <c r="C71" s="26"/>
      <c r="D71" s="27"/>
      <c r="E71" s="2" t="str">
        <f>IF(D71&lt;&gt;"",VLOOKUP($D71,Data!$A:$B,2,0),"")</f>
        <v/>
      </c>
      <c r="F71" s="64"/>
      <c r="G71" s="25">
        <f t="shared" si="0"/>
        <v>0</v>
      </c>
      <c r="H71" s="16"/>
      <c r="I71" s="4"/>
      <c r="J71" s="4"/>
      <c r="K71" s="4"/>
      <c r="L71" s="62"/>
      <c r="M71" s="30"/>
      <c r="N71" s="30"/>
      <c r="T71" s="95"/>
    </row>
    <row r="72" spans="1:20" s="6" customFormat="1" ht="13.8" x14ac:dyDescent="0.3">
      <c r="A72" s="96"/>
      <c r="B72" s="35"/>
      <c r="C72" s="26"/>
      <c r="D72" s="27"/>
      <c r="E72" s="2" t="str">
        <f>IF(D72&lt;&gt;"",VLOOKUP($D72,Data!$A:$B,2,0),"")</f>
        <v/>
      </c>
      <c r="F72" s="64"/>
      <c r="G72" s="25">
        <f t="shared" si="0"/>
        <v>0</v>
      </c>
      <c r="H72" s="16"/>
      <c r="I72" s="4"/>
      <c r="J72" s="4"/>
      <c r="K72" s="4"/>
      <c r="L72" s="62"/>
      <c r="M72" s="30"/>
      <c r="N72" s="30"/>
      <c r="T72" s="95"/>
    </row>
    <row r="73" spans="1:20" s="6" customFormat="1" ht="13.8" x14ac:dyDescent="0.3">
      <c r="A73" s="96"/>
      <c r="B73" s="35"/>
      <c r="C73" s="26"/>
      <c r="D73" s="27"/>
      <c r="E73" s="2" t="str">
        <f>IF(D73&lt;&gt;"",VLOOKUP($D73,Data!$A:$B,2,0),"")</f>
        <v/>
      </c>
      <c r="F73" s="64"/>
      <c r="G73" s="25">
        <f t="shared" si="0"/>
        <v>0</v>
      </c>
      <c r="H73" s="16"/>
      <c r="I73" s="4"/>
      <c r="J73" s="4"/>
      <c r="K73" s="4"/>
      <c r="L73" s="62"/>
      <c r="M73" s="30"/>
      <c r="N73" s="30"/>
      <c r="T73" s="95"/>
    </row>
    <row r="74" spans="1:20" s="6" customFormat="1" ht="13.8" x14ac:dyDescent="0.3">
      <c r="A74" s="96"/>
      <c r="B74" s="35"/>
      <c r="C74" s="26"/>
      <c r="D74" s="27"/>
      <c r="E74" s="2" t="str">
        <f>IF(D74&lt;&gt;"",VLOOKUP($D74,Data!$A:$B,2,0),"")</f>
        <v/>
      </c>
      <c r="F74" s="64"/>
      <c r="G74" s="25">
        <f t="shared" si="0"/>
        <v>0</v>
      </c>
      <c r="H74" s="16"/>
      <c r="I74" s="4"/>
      <c r="J74" s="4"/>
      <c r="K74" s="4"/>
      <c r="L74" s="62"/>
      <c r="M74" s="30"/>
      <c r="N74" s="30"/>
      <c r="T74" s="95"/>
    </row>
    <row r="75" spans="1:20" s="6" customFormat="1" ht="13.8" x14ac:dyDescent="0.3">
      <c r="A75" s="96"/>
      <c r="B75" s="35"/>
      <c r="C75" s="26"/>
      <c r="D75" s="27"/>
      <c r="E75" s="2" t="str">
        <f>IF(D75&lt;&gt;"",VLOOKUP($D75,Data!$A:$B,2,0),"")</f>
        <v/>
      </c>
      <c r="F75" s="64"/>
      <c r="G75" s="25">
        <f t="shared" si="0"/>
        <v>0</v>
      </c>
      <c r="H75" s="16"/>
      <c r="I75" s="4"/>
      <c r="J75" s="4"/>
      <c r="K75" s="4"/>
      <c r="L75" s="62"/>
      <c r="M75" s="30"/>
      <c r="N75" s="30"/>
      <c r="T75" s="95"/>
    </row>
    <row r="76" spans="1:20" s="6" customFormat="1" ht="13.8" x14ac:dyDescent="0.3">
      <c r="A76" s="96"/>
      <c r="B76" s="35"/>
      <c r="C76" s="26"/>
      <c r="D76" s="27"/>
      <c r="E76" s="2" t="str">
        <f>IF(D76&lt;&gt;"",VLOOKUP($D76,Data!$A:$B,2,0),"")</f>
        <v/>
      </c>
      <c r="F76" s="64"/>
      <c r="G76" s="25">
        <f t="shared" ref="G76:G90" si="1">COUNTIF($D$11:$D$123,D76)</f>
        <v>0</v>
      </c>
      <c r="H76" s="16"/>
      <c r="I76" s="4"/>
      <c r="J76" s="4"/>
      <c r="K76" s="4"/>
      <c r="L76" s="62"/>
      <c r="M76" s="30"/>
      <c r="N76" s="30"/>
      <c r="T76" s="95"/>
    </row>
    <row r="77" spans="1:20" s="6" customFormat="1" ht="13.8" x14ac:dyDescent="0.3">
      <c r="A77" s="96"/>
      <c r="B77" s="35"/>
      <c r="C77" s="26"/>
      <c r="D77" s="27"/>
      <c r="E77" s="2" t="str">
        <f>IF(D77&lt;&gt;"",VLOOKUP($D77,Data!$A:$B,2,0),"")</f>
        <v/>
      </c>
      <c r="F77" s="64"/>
      <c r="G77" s="25">
        <f t="shared" si="1"/>
        <v>0</v>
      </c>
      <c r="H77" s="16"/>
      <c r="I77" s="4"/>
      <c r="J77" s="4"/>
      <c r="K77" s="4"/>
      <c r="L77" s="62"/>
      <c r="M77" s="30"/>
      <c r="N77" s="30"/>
      <c r="T77" s="95"/>
    </row>
    <row r="78" spans="1:20" s="6" customFormat="1" ht="13.8" x14ac:dyDescent="0.3">
      <c r="A78" s="96"/>
      <c r="B78" s="35"/>
      <c r="C78" s="26"/>
      <c r="D78" s="27"/>
      <c r="E78" s="2" t="str">
        <f>IF(D78&lt;&gt;"",VLOOKUP($D78,Data!$A:$B,2,0),"")</f>
        <v/>
      </c>
      <c r="F78" s="64"/>
      <c r="G78" s="25">
        <f t="shared" si="1"/>
        <v>0</v>
      </c>
      <c r="H78" s="16"/>
      <c r="I78" s="4"/>
      <c r="J78" s="4"/>
      <c r="K78" s="4"/>
      <c r="L78" s="62"/>
      <c r="M78" s="30"/>
      <c r="N78" s="30"/>
      <c r="T78" s="95"/>
    </row>
    <row r="79" spans="1:20" s="6" customFormat="1" ht="13.8" x14ac:dyDescent="0.3">
      <c r="A79" s="96"/>
      <c r="B79" s="35"/>
      <c r="C79" s="26"/>
      <c r="D79" s="27"/>
      <c r="E79" s="2" t="str">
        <f>IF(D79&lt;&gt;"",VLOOKUP($D79,Data!$A:$B,2,0),"")</f>
        <v/>
      </c>
      <c r="F79" s="64"/>
      <c r="G79" s="25">
        <f t="shared" si="1"/>
        <v>0</v>
      </c>
      <c r="H79" s="16"/>
      <c r="I79" s="4"/>
      <c r="J79" s="4"/>
      <c r="K79" s="4"/>
      <c r="L79" s="62"/>
      <c r="M79" s="30"/>
      <c r="N79" s="30"/>
      <c r="T79" s="95"/>
    </row>
    <row r="80" spans="1:20" s="6" customFormat="1" ht="13.8" x14ac:dyDescent="0.3">
      <c r="A80" s="96"/>
      <c r="B80" s="35"/>
      <c r="C80" s="26"/>
      <c r="D80" s="27"/>
      <c r="E80" s="2" t="str">
        <f>IF(D80&lt;&gt;"",VLOOKUP($D80,Data!$A:$B,2,0),"")</f>
        <v/>
      </c>
      <c r="F80" s="64"/>
      <c r="G80" s="25">
        <f t="shared" si="1"/>
        <v>0</v>
      </c>
      <c r="H80" s="16"/>
      <c r="I80" s="4"/>
      <c r="J80" s="4"/>
      <c r="K80" s="4"/>
      <c r="L80" s="62"/>
      <c r="M80" s="30"/>
      <c r="N80" s="30"/>
      <c r="T80" s="95"/>
    </row>
    <row r="81" spans="1:20" s="6" customFormat="1" ht="13.8" x14ac:dyDescent="0.3">
      <c r="A81" s="96"/>
      <c r="B81" s="35"/>
      <c r="C81" s="26"/>
      <c r="D81" s="27"/>
      <c r="E81" s="2" t="str">
        <f>IF(D81&lt;&gt;"",VLOOKUP($D81,Data!$A:$B,2,0),"")</f>
        <v/>
      </c>
      <c r="F81" s="64"/>
      <c r="G81" s="25">
        <f t="shared" si="1"/>
        <v>0</v>
      </c>
      <c r="H81" s="16"/>
      <c r="I81" s="4"/>
      <c r="J81" s="4"/>
      <c r="K81" s="4"/>
      <c r="L81" s="62"/>
      <c r="M81" s="30"/>
      <c r="N81" s="30"/>
      <c r="T81" s="95"/>
    </row>
    <row r="82" spans="1:20" s="6" customFormat="1" ht="13.8" x14ac:dyDescent="0.3">
      <c r="A82" s="96"/>
      <c r="B82" s="35"/>
      <c r="C82" s="26"/>
      <c r="D82" s="27"/>
      <c r="E82" s="2" t="str">
        <f>IF(D82&lt;&gt;"",VLOOKUP($D82,Data!$A:$B,2,0),"")</f>
        <v/>
      </c>
      <c r="F82" s="64"/>
      <c r="G82" s="25">
        <f t="shared" si="1"/>
        <v>0</v>
      </c>
      <c r="H82" s="16"/>
      <c r="I82" s="4"/>
      <c r="J82" s="4"/>
      <c r="K82" s="4"/>
      <c r="L82" s="62"/>
      <c r="M82" s="30"/>
      <c r="N82" s="30"/>
      <c r="T82" s="95"/>
    </row>
    <row r="83" spans="1:20" s="6" customFormat="1" ht="13.8" x14ac:dyDescent="0.3">
      <c r="A83" s="96"/>
      <c r="B83" s="35"/>
      <c r="C83" s="26"/>
      <c r="D83" s="27"/>
      <c r="E83" s="2" t="str">
        <f>IF(D83&lt;&gt;"",VLOOKUP($D83,Data!$A:$B,2,0),"")</f>
        <v/>
      </c>
      <c r="F83" s="64"/>
      <c r="G83" s="25">
        <f t="shared" si="1"/>
        <v>0</v>
      </c>
      <c r="H83" s="16"/>
      <c r="I83" s="4"/>
      <c r="J83" s="4"/>
      <c r="K83" s="4"/>
      <c r="L83" s="62"/>
      <c r="M83" s="30"/>
      <c r="N83" s="30"/>
      <c r="T83" s="95"/>
    </row>
    <row r="84" spans="1:20" s="6" customFormat="1" ht="13.8" x14ac:dyDescent="0.3">
      <c r="A84" s="96"/>
      <c r="B84" s="35"/>
      <c r="C84" s="26"/>
      <c r="D84" s="27"/>
      <c r="E84" s="2" t="str">
        <f>IF(D84&lt;&gt;"",VLOOKUP($D84,Data!$A:$B,2,0),"")</f>
        <v/>
      </c>
      <c r="F84" s="64"/>
      <c r="G84" s="25">
        <f t="shared" si="1"/>
        <v>0</v>
      </c>
      <c r="H84" s="16"/>
      <c r="I84" s="4"/>
      <c r="J84" s="4"/>
      <c r="K84" s="4"/>
      <c r="L84" s="62"/>
      <c r="M84" s="30"/>
      <c r="N84" s="30"/>
      <c r="T84" s="95"/>
    </row>
    <row r="85" spans="1:20" s="6" customFormat="1" ht="13.8" x14ac:dyDescent="0.3">
      <c r="A85" s="96"/>
      <c r="B85" s="35"/>
      <c r="C85" s="26"/>
      <c r="D85" s="27"/>
      <c r="E85" s="2" t="str">
        <f>IF(D85&lt;&gt;"",VLOOKUP($D85,Data!$A:$B,2,0),"")</f>
        <v/>
      </c>
      <c r="F85" s="64"/>
      <c r="G85" s="25">
        <f t="shared" si="1"/>
        <v>0</v>
      </c>
      <c r="H85" s="16"/>
      <c r="I85" s="4"/>
      <c r="J85" s="4"/>
      <c r="K85" s="4"/>
      <c r="L85" s="62"/>
      <c r="M85" s="30"/>
      <c r="N85" s="30"/>
      <c r="T85" s="95"/>
    </row>
    <row r="86" spans="1:20" s="6" customFormat="1" ht="13.8" x14ac:dyDescent="0.3">
      <c r="A86" s="96"/>
      <c r="B86" s="35"/>
      <c r="C86" s="26"/>
      <c r="D86" s="27"/>
      <c r="E86" s="2" t="str">
        <f>IF(D86&lt;&gt;"",VLOOKUP($D86,Data!$A:$B,2,0),"")</f>
        <v/>
      </c>
      <c r="F86" s="64"/>
      <c r="G86" s="25">
        <f t="shared" si="1"/>
        <v>0</v>
      </c>
      <c r="H86" s="16"/>
      <c r="I86" s="4"/>
      <c r="J86" s="4"/>
      <c r="K86" s="4"/>
      <c r="L86" s="62"/>
      <c r="M86" s="30"/>
      <c r="N86" s="30"/>
      <c r="T86" s="95"/>
    </row>
    <row r="87" spans="1:20" s="6" customFormat="1" ht="13.8" x14ac:dyDescent="0.3">
      <c r="A87" s="96"/>
      <c r="B87" s="35"/>
      <c r="C87" s="26"/>
      <c r="D87" s="27"/>
      <c r="E87" s="2" t="str">
        <f>IF(D87&lt;&gt;"",VLOOKUP($D87,Data!$A:$B,2,0),"")</f>
        <v/>
      </c>
      <c r="F87" s="64"/>
      <c r="G87" s="25">
        <f t="shared" si="1"/>
        <v>0</v>
      </c>
      <c r="H87" s="16"/>
      <c r="I87" s="4"/>
      <c r="J87" s="4"/>
      <c r="K87" s="4"/>
      <c r="L87" s="62"/>
      <c r="M87" s="30"/>
      <c r="N87" s="30"/>
      <c r="T87" s="95"/>
    </row>
    <row r="88" spans="1:20" s="6" customFormat="1" ht="13.8" x14ac:dyDescent="0.3">
      <c r="A88" s="96"/>
      <c r="B88" s="35"/>
      <c r="C88" s="26"/>
      <c r="D88" s="27"/>
      <c r="E88" s="2" t="str">
        <f>IF(D88&lt;&gt;"",VLOOKUP($D88,Data!$A:$B,2,0),"")</f>
        <v/>
      </c>
      <c r="F88" s="64"/>
      <c r="G88" s="25">
        <f t="shared" si="1"/>
        <v>0</v>
      </c>
      <c r="H88" s="16"/>
      <c r="I88" s="4"/>
      <c r="J88" s="4"/>
      <c r="K88" s="4"/>
      <c r="L88" s="62"/>
      <c r="M88" s="30"/>
      <c r="N88" s="30"/>
      <c r="T88" s="95"/>
    </row>
    <row r="89" spans="1:20" s="6" customFormat="1" ht="13.8" x14ac:dyDescent="0.3">
      <c r="A89" s="96"/>
      <c r="B89" s="35"/>
      <c r="C89" s="26"/>
      <c r="D89" s="27"/>
      <c r="E89" s="2" t="str">
        <f>IF(D89&lt;&gt;"",VLOOKUP($D89,Data!$A:$B,2,0),"")</f>
        <v/>
      </c>
      <c r="F89" s="64"/>
      <c r="G89" s="25">
        <f t="shared" si="1"/>
        <v>0</v>
      </c>
      <c r="H89" s="16"/>
      <c r="I89" s="4"/>
      <c r="J89" s="4"/>
      <c r="K89" s="4"/>
      <c r="L89" s="62"/>
      <c r="M89" s="30"/>
      <c r="N89" s="30"/>
      <c r="T89" s="95"/>
    </row>
    <row r="90" spans="1:20" s="6" customFormat="1" ht="13.8" x14ac:dyDescent="0.3">
      <c r="A90" s="96"/>
      <c r="B90" s="35"/>
      <c r="C90" s="26"/>
      <c r="D90" s="27"/>
      <c r="E90" s="2" t="str">
        <f>IF(D90&lt;&gt;"",VLOOKUP($D90,Data!$A:$B,2,0),"")</f>
        <v/>
      </c>
      <c r="F90" s="64"/>
      <c r="G90" s="25">
        <f t="shared" si="1"/>
        <v>0</v>
      </c>
      <c r="H90" s="16"/>
      <c r="I90" s="4"/>
      <c r="J90" s="4"/>
      <c r="K90" s="4"/>
      <c r="L90" s="62"/>
      <c r="M90" s="30"/>
      <c r="N90" s="30"/>
      <c r="T90" s="95"/>
    </row>
    <row r="91" spans="1:20" s="6" customFormat="1" ht="13.8" x14ac:dyDescent="0.3">
      <c r="A91" s="96"/>
      <c r="B91" s="15"/>
      <c r="C91" s="5"/>
      <c r="D91" s="5"/>
      <c r="E91" s="37"/>
      <c r="F91" s="114" t="s">
        <v>1154</v>
      </c>
      <c r="G91" s="114"/>
      <c r="H91" s="16"/>
      <c r="I91" s="31"/>
      <c r="J91" s="4"/>
      <c r="K91" s="4"/>
      <c r="L91" s="62"/>
    </row>
    <row r="92" spans="1:20" s="6" customFormat="1" ht="13.8" x14ac:dyDescent="0.3">
      <c r="A92" s="96"/>
      <c r="B92" s="15"/>
      <c r="C92" s="5"/>
      <c r="D92" s="5"/>
      <c r="E92" s="37"/>
      <c r="F92" s="17"/>
      <c r="G92" s="5"/>
      <c r="H92" s="16"/>
      <c r="I92" s="31"/>
      <c r="J92" s="4"/>
      <c r="K92" s="4"/>
      <c r="L92" s="62"/>
    </row>
    <row r="93" spans="1:20" s="6" customFormat="1" ht="28.8" x14ac:dyDescent="0.3">
      <c r="A93" s="96"/>
      <c r="B93" s="15"/>
      <c r="C93" s="5"/>
      <c r="D93" s="5"/>
      <c r="E93" s="37"/>
      <c r="F93" s="23" t="s">
        <v>37</v>
      </c>
      <c r="G93" s="18"/>
      <c r="H93" s="16"/>
      <c r="I93" s="31"/>
      <c r="J93" s="4"/>
      <c r="K93" s="4"/>
      <c r="L93" s="62"/>
    </row>
    <row r="94" spans="1:20" s="6" customFormat="1" ht="13.8" x14ac:dyDescent="0.3">
      <c r="A94" s="96"/>
      <c r="B94" s="15"/>
      <c r="C94" s="5"/>
      <c r="D94" s="5"/>
      <c r="E94" s="37"/>
      <c r="F94" s="24"/>
      <c r="G94" s="17"/>
      <c r="H94" s="16"/>
      <c r="I94" s="31"/>
      <c r="J94" s="4"/>
      <c r="K94" s="4"/>
      <c r="L94" s="62"/>
    </row>
    <row r="95" spans="1:20" s="6" customFormat="1" ht="13.8" x14ac:dyDescent="0.3">
      <c r="A95" s="96"/>
      <c r="B95" s="15"/>
      <c r="C95" s="5"/>
      <c r="D95" s="5"/>
      <c r="E95" s="37"/>
      <c r="F95" s="24"/>
      <c r="G95" s="17"/>
      <c r="H95" s="16"/>
      <c r="I95" s="31"/>
      <c r="J95" s="4"/>
      <c r="K95" s="4"/>
      <c r="L95" s="62"/>
    </row>
    <row r="96" spans="1:20" s="6" customFormat="1" ht="13.8" x14ac:dyDescent="0.3">
      <c r="A96" s="96"/>
      <c r="B96" s="15"/>
      <c r="C96" s="5"/>
      <c r="D96" s="5"/>
      <c r="E96" s="37"/>
      <c r="F96" s="24"/>
      <c r="G96" s="17"/>
      <c r="H96" s="16"/>
      <c r="I96" s="31"/>
      <c r="J96" s="4"/>
      <c r="K96" s="4"/>
      <c r="L96" s="62"/>
    </row>
    <row r="97" spans="1:12" s="6" customFormat="1" ht="13.8" x14ac:dyDescent="0.3">
      <c r="A97" s="96"/>
      <c r="B97" s="15"/>
      <c r="C97" s="5"/>
      <c r="D97" s="5"/>
      <c r="E97" s="37"/>
      <c r="F97" s="24" t="s">
        <v>24</v>
      </c>
      <c r="G97" s="17"/>
      <c r="H97" s="16"/>
      <c r="I97" s="31"/>
      <c r="J97" s="4"/>
      <c r="K97" s="4"/>
      <c r="L97" s="62"/>
    </row>
    <row r="98" spans="1:12" s="6" customFormat="1" ht="13.8" x14ac:dyDescent="0.3">
      <c r="A98" s="96"/>
      <c r="B98" s="15"/>
      <c r="C98" s="5"/>
      <c r="D98" s="5"/>
      <c r="E98" s="37"/>
      <c r="F98" s="17"/>
      <c r="G98" s="17"/>
      <c r="H98" s="16"/>
      <c r="I98" s="31"/>
      <c r="J98" s="4"/>
      <c r="K98" s="4"/>
      <c r="L98" s="62"/>
    </row>
    <row r="99" spans="1:12" s="6" customFormat="1" x14ac:dyDescent="0.3">
      <c r="A99" s="96"/>
      <c r="B99" s="15"/>
      <c r="C99" s="19" t="s">
        <v>38</v>
      </c>
      <c r="D99" s="5"/>
      <c r="E99" s="37"/>
      <c r="F99" s="5"/>
      <c r="G99" s="17"/>
      <c r="H99" s="10"/>
      <c r="I99" s="31"/>
      <c r="J99" s="4"/>
      <c r="K99" s="4"/>
      <c r="L99" s="62"/>
    </row>
    <row r="100" spans="1:12" s="6" customFormat="1" ht="13.8" x14ac:dyDescent="0.3">
      <c r="A100" s="96"/>
      <c r="B100" s="15"/>
      <c r="C100" s="122" t="s">
        <v>8</v>
      </c>
      <c r="D100" s="123"/>
      <c r="E100" s="123"/>
      <c r="F100" s="123"/>
      <c r="G100" s="123"/>
      <c r="H100" s="16"/>
      <c r="I100" s="31"/>
      <c r="J100" s="4"/>
      <c r="K100" s="4"/>
      <c r="L100" s="62"/>
    </row>
    <row r="101" spans="1:12" s="6" customFormat="1" ht="13.8" x14ac:dyDescent="0.3">
      <c r="A101" s="96"/>
      <c r="B101" s="15"/>
      <c r="C101" s="113" t="s">
        <v>9</v>
      </c>
      <c r="D101" s="114"/>
      <c r="E101" s="114"/>
      <c r="F101" s="114"/>
      <c r="G101" s="17"/>
      <c r="H101" s="16"/>
      <c r="I101" s="31"/>
      <c r="J101" s="4"/>
      <c r="K101" s="4"/>
      <c r="L101" s="62"/>
    </row>
    <row r="102" spans="1:12" s="6" customFormat="1" ht="13.8" x14ac:dyDescent="0.3">
      <c r="A102" s="96"/>
      <c r="B102" s="15"/>
      <c r="C102" s="5"/>
      <c r="D102" s="5"/>
      <c r="E102" s="37"/>
      <c r="F102" s="5"/>
      <c r="G102" s="5"/>
      <c r="H102" s="16"/>
      <c r="I102" s="31"/>
      <c r="J102" s="4"/>
      <c r="K102" s="4"/>
      <c r="L102" s="62"/>
    </row>
    <row r="103" spans="1:12" s="6" customFormat="1" thickBot="1" x14ac:dyDescent="0.35">
      <c r="A103" s="96"/>
      <c r="B103" s="20"/>
      <c r="C103" s="21"/>
      <c r="D103" s="21"/>
      <c r="E103" s="40"/>
      <c r="F103" s="21"/>
      <c r="G103" s="21"/>
      <c r="H103" s="22"/>
      <c r="I103" s="31"/>
      <c r="J103" s="4"/>
      <c r="K103" s="4"/>
      <c r="L103" s="62"/>
    </row>
    <row r="104" spans="1:12" s="6" customFormat="1" ht="13.8" x14ac:dyDescent="0.3">
      <c r="A104" s="96"/>
      <c r="B104" s="5"/>
      <c r="C104" s="5"/>
      <c r="D104" s="5"/>
      <c r="E104" s="37"/>
      <c r="F104" s="5"/>
      <c r="G104" s="5"/>
      <c r="H104" s="5"/>
      <c r="I104" s="31"/>
      <c r="J104" s="4"/>
      <c r="K104" s="4"/>
      <c r="L104" s="62"/>
    </row>
    <row r="105" spans="1:12" s="6" customFormat="1" ht="13.8" x14ac:dyDescent="0.3">
      <c r="A105" s="96"/>
      <c r="B105" s="5"/>
      <c r="C105" s="5"/>
      <c r="D105" s="5"/>
      <c r="E105" s="37"/>
      <c r="F105" s="5"/>
      <c r="G105" s="5"/>
      <c r="H105" s="5"/>
      <c r="I105" s="95"/>
      <c r="J105" s="4"/>
      <c r="K105" s="4"/>
      <c r="L105" s="62"/>
    </row>
    <row r="106" spans="1:12" s="6" customFormat="1" ht="13.8" x14ac:dyDescent="0.3">
      <c r="A106" s="96"/>
      <c r="B106" s="5"/>
      <c r="C106" s="5"/>
      <c r="D106" s="5"/>
      <c r="E106" s="37"/>
      <c r="F106" s="5"/>
      <c r="G106" s="5"/>
      <c r="H106" s="5"/>
      <c r="I106" s="95"/>
      <c r="J106" s="4"/>
      <c r="K106" s="4"/>
      <c r="L106" s="62"/>
    </row>
    <row r="107" spans="1:12" s="6" customFormat="1" ht="13.8" x14ac:dyDescent="0.3">
      <c r="A107" s="96"/>
      <c r="B107" s="5"/>
      <c r="C107" s="5"/>
      <c r="D107" s="5"/>
      <c r="E107" s="37"/>
      <c r="F107" s="5"/>
      <c r="G107" s="5"/>
      <c r="H107" s="5"/>
      <c r="I107" s="95"/>
      <c r="J107" s="4"/>
      <c r="K107" s="4"/>
      <c r="L107" s="62"/>
    </row>
    <row r="108" spans="1:12" s="6" customFormat="1" ht="13.8" x14ac:dyDescent="0.3">
      <c r="A108" s="96"/>
      <c r="B108" s="5"/>
      <c r="C108" s="5"/>
      <c r="D108" s="5"/>
      <c r="E108" s="37"/>
      <c r="F108" s="5"/>
      <c r="G108" s="5"/>
      <c r="H108" s="5"/>
      <c r="I108" s="95"/>
      <c r="J108" s="4"/>
      <c r="K108" s="4"/>
      <c r="L108" s="62"/>
    </row>
    <row r="109" spans="1:12" s="6" customFormat="1" ht="13.8" x14ac:dyDescent="0.3">
      <c r="A109" s="96"/>
      <c r="B109" s="5"/>
      <c r="C109" s="5"/>
      <c r="D109" s="5"/>
      <c r="E109" s="37"/>
      <c r="F109" s="5"/>
      <c r="G109" s="5"/>
      <c r="H109" s="5"/>
      <c r="I109" s="31"/>
      <c r="J109" s="4"/>
      <c r="K109" s="4"/>
      <c r="L109" s="62"/>
    </row>
    <row r="110" spans="1:12" s="6" customFormat="1" ht="13.8" x14ac:dyDescent="0.3">
      <c r="A110" s="96"/>
      <c r="B110" s="5"/>
      <c r="C110" s="5"/>
      <c r="D110" s="5"/>
      <c r="E110" s="37"/>
      <c r="F110" s="5"/>
      <c r="G110" s="5"/>
      <c r="H110" s="5"/>
      <c r="I110" s="31"/>
      <c r="J110" s="4"/>
      <c r="K110" s="4"/>
      <c r="L110" s="62"/>
    </row>
    <row r="111" spans="1:12" s="6" customFormat="1" ht="16.8" x14ac:dyDescent="0.4">
      <c r="A111" s="96"/>
      <c r="B111" s="5"/>
      <c r="C111" s="5"/>
      <c r="D111" s="5"/>
      <c r="E111" s="41"/>
      <c r="F111" s="5"/>
      <c r="G111" s="5"/>
      <c r="H111" s="5"/>
      <c r="I111" s="31"/>
      <c r="J111" s="4"/>
      <c r="K111" s="61"/>
      <c r="L111" s="62"/>
    </row>
    <row r="112" spans="1:12" s="6" customFormat="1" ht="13.8" x14ac:dyDescent="0.3">
      <c r="A112" s="96"/>
      <c r="B112" s="5"/>
      <c r="C112" s="5"/>
      <c r="D112" s="5"/>
      <c r="E112" s="37"/>
      <c r="F112" s="5"/>
      <c r="G112" s="5"/>
      <c r="H112" s="5"/>
      <c r="I112" s="31"/>
      <c r="J112" s="4"/>
      <c r="K112" s="61"/>
      <c r="L112" s="62"/>
    </row>
    <row r="113" spans="1:12" s="6" customFormat="1" ht="13.8" x14ac:dyDescent="0.3">
      <c r="A113" s="96"/>
      <c r="B113" s="5"/>
      <c r="C113" s="5"/>
      <c r="D113" s="5"/>
      <c r="E113" s="37"/>
      <c r="F113" s="5"/>
      <c r="G113" s="5"/>
      <c r="H113" s="5"/>
      <c r="I113" s="31"/>
      <c r="J113" s="4"/>
      <c r="K113" s="4"/>
      <c r="L113" s="62"/>
    </row>
    <row r="114" spans="1:12" s="6" customFormat="1" ht="13.8" x14ac:dyDescent="0.3">
      <c r="A114" s="96"/>
      <c r="B114" s="5"/>
      <c r="C114" s="5"/>
      <c r="D114" s="5"/>
      <c r="E114" s="37"/>
      <c r="F114" s="5"/>
      <c r="G114" s="5"/>
      <c r="H114" s="5"/>
      <c r="I114" s="31"/>
      <c r="J114" s="4"/>
      <c r="K114" s="4"/>
      <c r="L114" s="62"/>
    </row>
    <row r="115" spans="1:12" s="6" customFormat="1" ht="13.8" x14ac:dyDescent="0.3">
      <c r="A115" s="96"/>
      <c r="B115" s="5"/>
      <c r="C115" s="5"/>
      <c r="D115" s="5"/>
      <c r="E115" s="37"/>
      <c r="F115" s="5"/>
      <c r="G115" s="5"/>
      <c r="H115" s="5"/>
      <c r="I115" s="31"/>
      <c r="J115" s="4"/>
      <c r="K115" s="4"/>
      <c r="L115" s="62"/>
    </row>
    <row r="116" spans="1:12" s="6" customFormat="1" x14ac:dyDescent="0.3">
      <c r="A116" s="96"/>
      <c r="B116" s="5"/>
      <c r="C116" s="5"/>
      <c r="D116" s="5"/>
      <c r="E116"/>
      <c r="F116" s="5"/>
      <c r="G116" s="5"/>
      <c r="H116" s="5"/>
      <c r="I116" s="31"/>
      <c r="J116" s="4"/>
      <c r="K116" s="4"/>
      <c r="L116" s="62"/>
    </row>
    <row r="117" spans="1:12" s="6" customFormat="1" ht="13.8" x14ac:dyDescent="0.3">
      <c r="A117" s="96"/>
      <c r="B117" s="5"/>
      <c r="C117" s="5"/>
      <c r="D117" s="5"/>
      <c r="E117" s="37"/>
      <c r="F117" s="5"/>
      <c r="G117" s="5"/>
      <c r="H117" s="5"/>
      <c r="I117" s="31"/>
      <c r="J117" s="4"/>
      <c r="K117" s="4"/>
      <c r="L117" s="62"/>
    </row>
  </sheetData>
  <dataConsolidate link="1"/>
  <customSheetViews>
    <customSheetView guid="{98B02240-083D-48FB-929B-AEE0DA92ED1F}" scale="85" showAutoFilter="1">
      <pane xSplit="14" ySplit="10" topLeftCell="O14" activePane="bottomRight" state="frozen"/>
      <selection pane="bottomRight" activeCell="K28" sqref="K28"/>
      <pageMargins left="0.7" right="0.7" top="0.75" bottom="0.75" header="0.3" footer="0.3"/>
      <pageSetup paperSize="9" orientation="portrait" r:id="rId1"/>
      <autoFilter ref="C10:U91" xr:uid="{499D7F09-0C2B-438C-A4BE-3F3CF7500690}"/>
    </customSheetView>
  </customSheetViews>
  <mergeCells count="6">
    <mergeCell ref="C101:F101"/>
    <mergeCell ref="M9:N9"/>
    <mergeCell ref="B5:H5"/>
    <mergeCell ref="B6:H6"/>
    <mergeCell ref="F91:G91"/>
    <mergeCell ref="C100:G100"/>
  </mergeCells>
  <phoneticPr fontId="32" type="noConversion"/>
  <conditionalFormatting sqref="C11:N90">
    <cfRule type="expression" dxfId="11" priority="32">
      <formula>AND($C11&lt;&gt;"",$O11="",$N11&gt;=TODAY())</formula>
    </cfRule>
  </conditionalFormatting>
  <conditionalFormatting sqref="M6">
    <cfRule type="expression" dxfId="10" priority="4">
      <formula>AND($C6&lt;&gt;"",$O6="",$N6&gt;=TODAY())</formula>
    </cfRule>
  </conditionalFormatting>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2" r:id="rId5" name="Button 8">
              <controlPr defaultSize="0" autoFill="0" autoPict="0" macro="[0]!Tao_Bao_Cao_Dong_Due">
                <anchor>
                  <from>
                    <xdr:col>8</xdr:col>
                    <xdr:colOff>198120</xdr:colOff>
                    <xdr:row>1</xdr:row>
                    <xdr:rowOff>91440</xdr:rowOff>
                  </from>
                  <to>
                    <xdr:col>9</xdr:col>
                    <xdr:colOff>441960</xdr:colOff>
                    <xdr:row>3</xdr:row>
                    <xdr:rowOff>152400</xdr:rowOff>
                  </to>
                </anchor>
              </controlPr>
            </control>
          </mc:Choice>
        </mc:AlternateContent>
        <mc:AlternateContent xmlns:mc="http://schemas.openxmlformats.org/markup-compatibility/2006">
          <mc:Choice Requires="x14">
            <control shapeId="1033" r:id="rId6" name="Button 9">
              <controlPr defaultSize="0" autoFill="0" autoPict="0" macro="[0]!Xoa_Sheets_Vua_Tao_Bi_Sai">
                <anchor>
                  <from>
                    <xdr:col>8</xdr:col>
                    <xdr:colOff>198120</xdr:colOff>
                    <xdr:row>4</xdr:row>
                    <xdr:rowOff>15240</xdr:rowOff>
                  </from>
                  <to>
                    <xdr:col>9</xdr:col>
                    <xdr:colOff>441960</xdr:colOff>
                    <xdr:row>6</xdr:row>
                    <xdr:rowOff>7620</xdr:rowOff>
                  </to>
                </anchor>
              </controlPr>
            </control>
          </mc:Choice>
        </mc:AlternateContent>
        <mc:AlternateContent xmlns:mc="http://schemas.openxmlformats.org/markup-compatibility/2006">
          <mc:Choice Requires="x14">
            <control shapeId="1034" r:id="rId7" name="Button 10">
              <controlPr defaultSize="0" autoFill="0" autoPict="0" macro="[0]!Xoa_Cac_Sheets_Vao_Dau_Thang">
                <anchor>
                  <from>
                    <xdr:col>8</xdr:col>
                    <xdr:colOff>198120</xdr:colOff>
                    <xdr:row>6</xdr:row>
                    <xdr:rowOff>83820</xdr:rowOff>
                  </from>
                  <to>
                    <xdr:col>9</xdr:col>
                    <xdr:colOff>441960</xdr:colOff>
                    <xdr:row>8</xdr:row>
                    <xdr:rowOff>129540</xdr:rowOff>
                  </to>
                </anchor>
              </controlPr>
            </control>
          </mc:Choice>
        </mc:AlternateContent>
        <mc:AlternateContent xmlns:mc="http://schemas.openxmlformats.org/markup-compatibility/2006">
          <mc:Choice Requires="x14">
            <control shapeId="1041" r:id="rId8" name="Button 17">
              <controlPr defaultSize="0" autoFill="0" autoPict="0" macro="[0]!Rectangle1_Click">
                <anchor>
                  <from>
                    <xdr:col>10</xdr:col>
                    <xdr:colOff>22860</xdr:colOff>
                    <xdr:row>6</xdr:row>
                    <xdr:rowOff>83820</xdr:rowOff>
                  </from>
                  <to>
                    <xdr:col>11</xdr:col>
                    <xdr:colOff>182880</xdr:colOff>
                    <xdr:row>8</xdr:row>
                    <xdr:rowOff>114300</xdr:rowOff>
                  </to>
                </anchor>
              </controlPr>
            </control>
          </mc:Choice>
        </mc:AlternateContent>
        <mc:AlternateContent xmlns:mc="http://schemas.openxmlformats.org/markup-compatibility/2006">
          <mc:Choice Requires="x14">
            <control shapeId="1043" r:id="rId9" name="Button 19">
              <controlPr defaultSize="0" autoFill="0" autoPict="0" macro="[0]!re_new">
                <anchor>
                  <from>
                    <xdr:col>10</xdr:col>
                    <xdr:colOff>22860</xdr:colOff>
                    <xdr:row>1</xdr:row>
                    <xdr:rowOff>91440</xdr:rowOff>
                  </from>
                  <to>
                    <xdr:col>11</xdr:col>
                    <xdr:colOff>182880</xdr:colOff>
                    <xdr:row>3</xdr:row>
                    <xdr:rowOff>152400</xdr:rowOff>
                  </to>
                </anchor>
              </controlPr>
            </control>
          </mc:Choice>
        </mc:AlternateContent>
        <mc:AlternateContent xmlns:mc="http://schemas.openxmlformats.org/markup-compatibility/2006">
          <mc:Choice Requires="x14">
            <control shapeId="1044" r:id="rId10" name="Button 20">
              <controlPr defaultSize="0" autoFill="0" autoPict="0" macro="[0]!TaoBCgui">
                <anchor>
                  <from>
                    <xdr:col>10</xdr:col>
                    <xdr:colOff>22860</xdr:colOff>
                    <xdr:row>4</xdr:row>
                    <xdr:rowOff>15240</xdr:rowOff>
                  </from>
                  <to>
                    <xdr:col>11</xdr:col>
                    <xdr:colOff>182880</xdr:colOff>
                    <xdr:row>6</xdr:row>
                    <xdr:rowOff>7620</xdr:rowOff>
                  </to>
                </anchor>
              </controlPr>
            </control>
          </mc:Choice>
        </mc:AlternateContent>
        <mc:AlternateContent xmlns:mc="http://schemas.openxmlformats.org/markup-compatibility/2006">
          <mc:Choice Requires="x14">
            <control shapeId="1070" r:id="rId11" name="Group Box 46">
              <controlPr defaultSize="0" autoFill="0" autoPict="0">
                <anchor moveWithCells="1">
                  <from>
                    <xdr:col>8</xdr:col>
                    <xdr:colOff>137160</xdr:colOff>
                    <xdr:row>0</xdr:row>
                    <xdr:rowOff>175260</xdr:rowOff>
                  </from>
                  <to>
                    <xdr:col>11</xdr:col>
                    <xdr:colOff>312420</xdr:colOff>
                    <xdr:row>9</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4EF9D-A302-463C-A7A6-97EFFDA2CA55}">
  <sheetPr codeName="Sheet2">
    <pageSetUpPr fitToPage="1"/>
  </sheetPr>
  <dimension ref="A1:M99"/>
  <sheetViews>
    <sheetView showGridLines="0" zoomScaleNormal="100" workbookViewId="0">
      <selection activeCell="L70" sqref="L70"/>
    </sheetView>
  </sheetViews>
  <sheetFormatPr defaultColWidth="9" defaultRowHeight="14.4" x14ac:dyDescent="0.3"/>
  <cols>
    <col min="1" max="1" width="3.6640625" style="47" customWidth="1"/>
    <col min="2" max="4" width="9" style="47"/>
    <col min="5" max="5" width="41.109375" style="49" customWidth="1"/>
    <col min="6" max="8" width="9" style="47"/>
    <col min="9" max="9" width="4.33203125" style="47" customWidth="1"/>
    <col min="10" max="11" width="9" style="47"/>
    <col min="14" max="16384" width="9" style="47"/>
  </cols>
  <sheetData>
    <row r="1" spans="1:9" x14ac:dyDescent="0.3">
      <c r="A1" s="43"/>
      <c r="B1" s="44"/>
      <c r="C1" s="44"/>
      <c r="D1" s="44"/>
      <c r="E1" s="45"/>
      <c r="F1" s="44"/>
      <c r="G1" s="44"/>
      <c r="H1" s="44"/>
      <c r="I1" s="46"/>
    </row>
    <row r="2" spans="1:9" ht="15.6" x14ac:dyDescent="0.3">
      <c r="A2" s="48" t="s">
        <v>1173</v>
      </c>
      <c r="I2" s="29" t="s">
        <v>28</v>
      </c>
    </row>
    <row r="3" spans="1:9" ht="16.2" x14ac:dyDescent="0.3">
      <c r="A3" s="50" t="s">
        <v>1174</v>
      </c>
      <c r="I3" s="51" t="s">
        <v>10</v>
      </c>
    </row>
    <row r="4" spans="1:9" x14ac:dyDescent="0.3">
      <c r="A4" s="52"/>
      <c r="I4" s="53"/>
    </row>
    <row r="5" spans="1:9" ht="17.399999999999999" x14ac:dyDescent="0.3">
      <c r="A5" s="124" t="s">
        <v>11</v>
      </c>
      <c r="B5" s="125"/>
      <c r="C5" s="125"/>
      <c r="D5" s="125"/>
      <c r="E5" s="125"/>
      <c r="F5" s="125"/>
      <c r="G5" s="125"/>
      <c r="H5" s="125"/>
      <c r="I5" s="126"/>
    </row>
    <row r="6" spans="1:9" ht="16.2" x14ac:dyDescent="0.3">
      <c r="A6" s="127" t="s">
        <v>12</v>
      </c>
      <c r="B6" s="120"/>
      <c r="C6" s="120"/>
      <c r="D6" s="120"/>
      <c r="E6" s="120"/>
      <c r="F6" s="120"/>
      <c r="G6" s="120"/>
      <c r="H6" s="120"/>
      <c r="I6" s="121"/>
    </row>
    <row r="7" spans="1:9" ht="15.6" x14ac:dyDescent="0.3">
      <c r="A7" s="52"/>
      <c r="F7" s="54"/>
      <c r="G7" s="54"/>
      <c r="H7" s="54"/>
      <c r="I7" s="55" t="str">
        <f ca="1">+"Tháng/ Month: "&amp; MONTH(TODAY())&amp;"/"&amp;YEAR(TODAY())</f>
        <v>Tháng/ Month: 9/2024</v>
      </c>
    </row>
    <row r="8" spans="1:9" ht="15.6" x14ac:dyDescent="0.3">
      <c r="A8" s="52"/>
      <c r="I8" s="55"/>
    </row>
    <row r="9" spans="1:9" x14ac:dyDescent="0.3">
      <c r="A9" s="52"/>
      <c r="B9" s="128" t="s">
        <v>13</v>
      </c>
      <c r="C9" s="129"/>
      <c r="D9" s="129"/>
      <c r="E9" s="33" t="s">
        <v>15</v>
      </c>
      <c r="F9" s="129" t="s">
        <v>17</v>
      </c>
      <c r="G9" s="129"/>
      <c r="H9" s="130"/>
      <c r="I9" s="53"/>
    </row>
    <row r="10" spans="1:9" x14ac:dyDescent="0.3">
      <c r="A10" s="52"/>
      <c r="B10" s="131" t="s">
        <v>14</v>
      </c>
      <c r="C10" s="132"/>
      <c r="D10" s="132"/>
      <c r="E10" s="34" t="s">
        <v>16</v>
      </c>
      <c r="F10" s="132" t="s">
        <v>18</v>
      </c>
      <c r="G10" s="132"/>
      <c r="H10" s="133"/>
      <c r="I10" s="53"/>
    </row>
    <row r="11" spans="1:9" ht="30" customHeight="1" x14ac:dyDescent="0.3">
      <c r="A11" s="52"/>
      <c r="B11" s="65" t="str">
        <f ca="1">IF(AND('Danh sach'!$C11&lt;&gt;"",'Danh sach'!$O11=""),IF('Danh sach'!$N11&gt;=TODAY(),'Danh sach'!D11,""),"")</f>
        <v>C111797</v>
      </c>
      <c r="C11" s="66"/>
      <c r="D11" s="67"/>
      <c r="E11" s="42" t="str">
        <f ca="1">IF(AND('Danh sach'!$C11&lt;&gt;"",'Danh sach'!$O11=""),IF('Danh sach'!$N11&gt;=TODAY(),'Danh sach'!E11,""),"")</f>
        <v>Công ty TNHH MTV TM DV Phú Thịnh Hưng</v>
      </c>
      <c r="F11" s="68" t="str">
        <f ca="1">IF(B11="","","Check and stop")</f>
        <v>Check and stop</v>
      </c>
      <c r="G11" s="69"/>
      <c r="H11" s="70"/>
      <c r="I11" s="53"/>
    </row>
    <row r="12" spans="1:9" ht="30" customHeight="1" x14ac:dyDescent="0.3">
      <c r="A12" s="52"/>
      <c r="B12" s="65" t="str">
        <f ca="1">IF(AND('Danh sach'!$C12&lt;&gt;"",'Danh sach'!$O12=""),IF('Danh sach'!$N12&gt;=TODAY(),'Danh sach'!D12,""),"")</f>
        <v/>
      </c>
      <c r="C12" s="66"/>
      <c r="D12" s="67"/>
      <c r="E12" s="42" t="str">
        <f ca="1">IF(AND('Danh sach'!$C12&lt;&gt;"",'Danh sach'!$O12=""),IF('Danh sach'!$N12&gt;=TODAY(),'Danh sach'!E12,""),"")</f>
        <v/>
      </c>
      <c r="F12" s="68" t="str">
        <f t="shared" ref="F12:F75" ca="1" si="0">IF(B12="","","Check and stop")</f>
        <v/>
      </c>
      <c r="G12" s="69"/>
      <c r="H12" s="70"/>
      <c r="I12" s="53"/>
    </row>
    <row r="13" spans="1:9" ht="30" customHeight="1" x14ac:dyDescent="0.3">
      <c r="A13" s="52"/>
      <c r="B13" s="65" t="str">
        <f ca="1">IF(AND('Danh sach'!$C13&lt;&gt;"",'Danh sach'!$O13=""),IF('Danh sach'!$N13&gt;=TODAY(),'Danh sach'!D13,""),"")</f>
        <v/>
      </c>
      <c r="C13" s="66"/>
      <c r="D13" s="67"/>
      <c r="E13" s="42" t="str">
        <f ca="1">IF(AND('Danh sach'!$C13&lt;&gt;"",'Danh sach'!$O13=""),IF('Danh sach'!$N13&gt;=TODAY(),'Danh sach'!E13,""),"")</f>
        <v/>
      </c>
      <c r="F13" s="68" t="str">
        <f t="shared" ca="1" si="0"/>
        <v/>
      </c>
      <c r="G13" s="69"/>
      <c r="H13" s="70"/>
      <c r="I13" s="53"/>
    </row>
    <row r="14" spans="1:9" ht="16.2" x14ac:dyDescent="0.3">
      <c r="A14" s="52"/>
      <c r="B14" s="65" t="str">
        <f ca="1">IF(AND('Danh sach'!$C14&lt;&gt;"",'Danh sach'!$O14=""),IF('Danh sach'!$N14&gt;=TODAY(),'Danh sach'!D14,""),"")</f>
        <v/>
      </c>
      <c r="C14" s="66"/>
      <c r="D14" s="67"/>
      <c r="E14" s="42" t="str">
        <f ca="1">IF(AND('Danh sach'!$C14&lt;&gt;"",'Danh sach'!$O14=""),IF('Danh sach'!$N14&gt;=TODAY(),'Danh sach'!E14,""),"")</f>
        <v/>
      </c>
      <c r="F14" s="68" t="str">
        <f t="shared" ca="1" si="0"/>
        <v/>
      </c>
      <c r="G14" s="69"/>
      <c r="H14" s="70"/>
      <c r="I14" s="53"/>
    </row>
    <row r="15" spans="1:9" ht="16.2" x14ac:dyDescent="0.3">
      <c r="A15" s="52"/>
      <c r="B15" s="65" t="str">
        <f ca="1">IF(AND('Danh sach'!$C15&lt;&gt;"",'Danh sach'!$O15=""),IF('Danh sach'!$N15&gt;=TODAY(),'Danh sach'!D15,""),"")</f>
        <v/>
      </c>
      <c r="C15" s="66"/>
      <c r="D15" s="67"/>
      <c r="E15" s="42" t="str">
        <f ca="1">IF(AND('Danh sach'!$C15&lt;&gt;"",'Danh sach'!$O15=""),IF('Danh sach'!$N15&gt;=TODAY(),'Danh sach'!E15,""),"")</f>
        <v/>
      </c>
      <c r="F15" s="68" t="str">
        <f t="shared" ca="1" si="0"/>
        <v/>
      </c>
      <c r="G15" s="69"/>
      <c r="H15" s="70"/>
      <c r="I15" s="53"/>
    </row>
    <row r="16" spans="1:9" ht="16.2" x14ac:dyDescent="0.3">
      <c r="A16" s="52"/>
      <c r="B16" s="65" t="str">
        <f ca="1">IF(AND('Danh sach'!$C16&lt;&gt;"",'Danh sach'!$O16=""),IF('Danh sach'!$N16&gt;=TODAY(),'Danh sach'!D16,""),"")</f>
        <v/>
      </c>
      <c r="C16" s="66"/>
      <c r="D16" s="67"/>
      <c r="E16" s="42" t="str">
        <f ca="1">IF(AND('Danh sach'!$C16&lt;&gt;"",'Danh sach'!$O16=""),IF('Danh sach'!$N16&gt;=TODAY(),'Danh sach'!E16,""),"")</f>
        <v/>
      </c>
      <c r="F16" s="68" t="str">
        <f t="shared" ca="1" si="0"/>
        <v/>
      </c>
      <c r="G16" s="69"/>
      <c r="H16" s="70"/>
      <c r="I16" s="53"/>
    </row>
    <row r="17" spans="1:9" ht="16.2" x14ac:dyDescent="0.3">
      <c r="A17" s="52"/>
      <c r="B17" s="65" t="str">
        <f ca="1">IF(AND('Danh sach'!$C17&lt;&gt;"",'Danh sach'!$O17=""),IF('Danh sach'!$N17&gt;=TODAY(),'Danh sach'!D17,""),"")</f>
        <v/>
      </c>
      <c r="C17" s="66"/>
      <c r="D17" s="67"/>
      <c r="E17" s="42" t="str">
        <f ca="1">IF(AND('Danh sach'!$C17&lt;&gt;"",'Danh sach'!$O17=""),IF('Danh sach'!$N17&gt;=TODAY(),'Danh sach'!E17,""),"")</f>
        <v/>
      </c>
      <c r="F17" s="68" t="str">
        <f t="shared" ca="1" si="0"/>
        <v/>
      </c>
      <c r="G17" s="69"/>
      <c r="H17" s="70"/>
      <c r="I17" s="53"/>
    </row>
    <row r="18" spans="1:9" ht="16.2" x14ac:dyDescent="0.3">
      <c r="A18" s="52"/>
      <c r="B18" s="65" t="str">
        <f ca="1">IF(AND('Danh sach'!$C18&lt;&gt;"",'Danh sach'!$O18=""),IF('Danh sach'!$N18&gt;=TODAY(),'Danh sach'!D18,""),"")</f>
        <v/>
      </c>
      <c r="C18" s="66"/>
      <c r="D18" s="67"/>
      <c r="E18" s="42" t="str">
        <f ca="1">IF(AND('Danh sach'!$C18&lt;&gt;"",'Danh sach'!$O18=""),IF('Danh sach'!$N18&gt;=TODAY(),'Danh sach'!E18,""),"")</f>
        <v/>
      </c>
      <c r="F18" s="68" t="str">
        <f t="shared" ca="1" si="0"/>
        <v/>
      </c>
      <c r="G18" s="69"/>
      <c r="H18" s="70"/>
      <c r="I18" s="53"/>
    </row>
    <row r="19" spans="1:9" ht="16.2" x14ac:dyDescent="0.3">
      <c r="A19" s="52"/>
      <c r="B19" s="65" t="str">
        <f ca="1">IF(AND('Danh sach'!$C19&lt;&gt;"",'Danh sach'!$O19=""),IF('Danh sach'!$N19&gt;=TODAY(),'Danh sach'!D19,""),"")</f>
        <v/>
      </c>
      <c r="C19" s="66"/>
      <c r="D19" s="67"/>
      <c r="E19" s="42" t="str">
        <f ca="1">IF(AND('Danh sach'!$C19&lt;&gt;"",'Danh sach'!$O19=""),IF('Danh sach'!$N19&gt;=TODAY(),'Danh sach'!E19,""),"")</f>
        <v/>
      </c>
      <c r="F19" s="68" t="str">
        <f t="shared" ca="1" si="0"/>
        <v/>
      </c>
      <c r="G19" s="69"/>
      <c r="H19" s="70"/>
      <c r="I19" s="53"/>
    </row>
    <row r="20" spans="1:9" ht="16.2" x14ac:dyDescent="0.3">
      <c r="A20" s="52"/>
      <c r="B20" s="65" t="str">
        <f ca="1">IF(AND('Danh sach'!$C20&lt;&gt;"",'Danh sach'!$O20=""),IF('Danh sach'!$N20&gt;=TODAY(),'Danh sach'!D20,""),"")</f>
        <v/>
      </c>
      <c r="C20" s="66"/>
      <c r="D20" s="67"/>
      <c r="E20" s="42" t="str">
        <f ca="1">IF(AND('Danh sach'!$C20&lt;&gt;"",'Danh sach'!$O20=""),IF('Danh sach'!$N20&gt;=TODAY(),'Danh sach'!E20,""),"")</f>
        <v/>
      </c>
      <c r="F20" s="68" t="str">
        <f t="shared" ca="1" si="0"/>
        <v/>
      </c>
      <c r="G20" s="69"/>
      <c r="H20" s="70"/>
      <c r="I20" s="53"/>
    </row>
    <row r="21" spans="1:9" ht="16.2" x14ac:dyDescent="0.3">
      <c r="A21" s="52"/>
      <c r="B21" s="65" t="str">
        <f ca="1">IF(AND('Danh sach'!$C21&lt;&gt;"",'Danh sach'!$O21=""),IF('Danh sach'!$N21&gt;=TODAY(),'Danh sach'!D21,""),"")</f>
        <v/>
      </c>
      <c r="C21" s="66"/>
      <c r="D21" s="67"/>
      <c r="E21" s="42" t="str">
        <f ca="1">IF(AND('Danh sach'!$C21&lt;&gt;"",'Danh sach'!$O21=""),IF('Danh sach'!$N21&gt;=TODAY(),'Danh sach'!E21,""),"")</f>
        <v/>
      </c>
      <c r="F21" s="68" t="str">
        <f t="shared" ca="1" si="0"/>
        <v/>
      </c>
      <c r="G21" s="69"/>
      <c r="H21" s="70"/>
      <c r="I21" s="53"/>
    </row>
    <row r="22" spans="1:9" ht="16.2" x14ac:dyDescent="0.3">
      <c r="A22" s="52"/>
      <c r="B22" s="65" t="str">
        <f ca="1">IF(AND('Danh sach'!$C22&lt;&gt;"",'Danh sach'!$O22=""),IF('Danh sach'!$N22&gt;=TODAY(),'Danh sach'!D22,""),"")</f>
        <v/>
      </c>
      <c r="C22" s="66"/>
      <c r="D22" s="67"/>
      <c r="E22" s="42" t="str">
        <f ca="1">IF(AND('Danh sach'!$C22&lt;&gt;"",'Danh sach'!$O22=""),IF('Danh sach'!$N22&gt;=TODAY(),'Danh sach'!E22,""),"")</f>
        <v/>
      </c>
      <c r="F22" s="68" t="str">
        <f t="shared" ca="1" si="0"/>
        <v/>
      </c>
      <c r="G22" s="69"/>
      <c r="H22" s="70"/>
      <c r="I22" s="53"/>
    </row>
    <row r="23" spans="1:9" ht="16.2" x14ac:dyDescent="0.3">
      <c r="A23" s="52"/>
      <c r="B23" s="65" t="str">
        <f ca="1">IF(AND('Danh sach'!$C23&lt;&gt;"",'Danh sach'!$O23=""),IF('Danh sach'!$N23&gt;=TODAY(),'Danh sach'!D23,""),"")</f>
        <v/>
      </c>
      <c r="C23" s="66"/>
      <c r="D23" s="67"/>
      <c r="E23" s="42" t="str">
        <f ca="1">IF(AND('Danh sach'!$C23&lt;&gt;"",'Danh sach'!$O23=""),IF('Danh sach'!$N23&gt;=TODAY(),'Danh sach'!E23,""),"")</f>
        <v/>
      </c>
      <c r="F23" s="68" t="str">
        <f t="shared" ca="1" si="0"/>
        <v/>
      </c>
      <c r="G23" s="69"/>
      <c r="H23" s="70"/>
      <c r="I23" s="53"/>
    </row>
    <row r="24" spans="1:9" ht="16.2" x14ac:dyDescent="0.3">
      <c r="A24" s="52"/>
      <c r="B24" s="65" t="str">
        <f ca="1">IF(AND('Danh sach'!$C24&lt;&gt;"",'Danh sach'!$O24=""),IF('Danh sach'!$N24&gt;=TODAY(),'Danh sach'!D24,""),"")</f>
        <v/>
      </c>
      <c r="C24" s="66"/>
      <c r="D24" s="67"/>
      <c r="E24" s="42" t="str">
        <f ca="1">IF(AND('Danh sach'!$C24&lt;&gt;"",'Danh sach'!$O24=""),IF('Danh sach'!$N24&gt;=TODAY(),'Danh sach'!E24,""),"")</f>
        <v/>
      </c>
      <c r="F24" s="68" t="str">
        <f t="shared" ca="1" si="0"/>
        <v/>
      </c>
      <c r="G24" s="69"/>
      <c r="H24" s="70"/>
      <c r="I24" s="53"/>
    </row>
    <row r="25" spans="1:9" ht="16.2" x14ac:dyDescent="0.3">
      <c r="A25" s="52"/>
      <c r="B25" s="65" t="str">
        <f ca="1">IF(AND('Danh sach'!$C25&lt;&gt;"",'Danh sach'!$O25=""),IF('Danh sach'!$N25&gt;=TODAY(),'Danh sach'!D25,""),"")</f>
        <v/>
      </c>
      <c r="C25" s="66"/>
      <c r="D25" s="67"/>
      <c r="E25" s="42" t="str">
        <f ca="1">IF(AND('Danh sach'!$C25&lt;&gt;"",'Danh sach'!$O25=""),IF('Danh sach'!$N25&gt;=TODAY(),'Danh sach'!E25,""),"")</f>
        <v/>
      </c>
      <c r="F25" s="68" t="str">
        <f t="shared" ca="1" si="0"/>
        <v/>
      </c>
      <c r="G25" s="69"/>
      <c r="H25" s="70"/>
      <c r="I25" s="53"/>
    </row>
    <row r="26" spans="1:9" ht="16.2" x14ac:dyDescent="0.3">
      <c r="A26" s="52"/>
      <c r="B26" s="65" t="str">
        <f ca="1">IF(AND('Danh sach'!$C26&lt;&gt;"",'Danh sach'!$O26=""),IF('Danh sach'!$N26&gt;=TODAY(),'Danh sach'!D26,""),"")</f>
        <v/>
      </c>
      <c r="C26" s="66"/>
      <c r="D26" s="67"/>
      <c r="E26" s="42" t="str">
        <f ca="1">IF(AND('Danh sach'!$C26&lt;&gt;"",'Danh sach'!$O26=""),IF('Danh sach'!$N26&gt;=TODAY(),'Danh sach'!E26,""),"")</f>
        <v/>
      </c>
      <c r="F26" s="68" t="str">
        <f t="shared" ca="1" si="0"/>
        <v/>
      </c>
      <c r="G26" s="69"/>
      <c r="H26" s="70"/>
      <c r="I26" s="53"/>
    </row>
    <row r="27" spans="1:9" ht="16.2" x14ac:dyDescent="0.3">
      <c r="A27" s="52"/>
      <c r="B27" s="65" t="str">
        <f ca="1">IF(AND('Danh sach'!$C27&lt;&gt;"",'Danh sach'!$O27=""),IF('Danh sach'!$N27&gt;=TODAY(),'Danh sach'!D27,""),"")</f>
        <v/>
      </c>
      <c r="C27" s="66"/>
      <c r="D27" s="67"/>
      <c r="E27" s="42" t="str">
        <f ca="1">IF(AND('Danh sach'!$C27&lt;&gt;"",'Danh sach'!$O27=""),IF('Danh sach'!$N27&gt;=TODAY(),'Danh sach'!E27,""),"")</f>
        <v/>
      </c>
      <c r="F27" s="68" t="str">
        <f t="shared" ca="1" si="0"/>
        <v/>
      </c>
      <c r="G27" s="69"/>
      <c r="H27" s="70"/>
      <c r="I27" s="53"/>
    </row>
    <row r="28" spans="1:9" ht="16.2" x14ac:dyDescent="0.3">
      <c r="A28" s="52"/>
      <c r="B28" s="65" t="str">
        <f ca="1">IF(AND('Danh sach'!$C28&lt;&gt;"",'Danh sach'!$O28=""),IF('Danh sach'!$N28&gt;=TODAY(),'Danh sach'!D28,""),"")</f>
        <v/>
      </c>
      <c r="C28" s="66"/>
      <c r="D28" s="67"/>
      <c r="E28" s="42" t="str">
        <f ca="1">IF(AND('Danh sach'!$C28&lt;&gt;"",'Danh sach'!$O28=""),IF('Danh sach'!$N28&gt;=TODAY(),'Danh sach'!E28,""),"")</f>
        <v/>
      </c>
      <c r="F28" s="68" t="str">
        <f t="shared" ca="1" si="0"/>
        <v/>
      </c>
      <c r="G28" s="69"/>
      <c r="H28" s="70"/>
      <c r="I28" s="53"/>
    </row>
    <row r="29" spans="1:9" ht="16.2" x14ac:dyDescent="0.3">
      <c r="A29" s="52"/>
      <c r="B29" s="65" t="str">
        <f ca="1">IF(AND('Danh sach'!$C29&lt;&gt;"",'Danh sach'!$O29=""),IF('Danh sach'!$N29&gt;=TODAY(),'Danh sach'!D29,""),"")</f>
        <v/>
      </c>
      <c r="C29" s="66"/>
      <c r="D29" s="67"/>
      <c r="E29" s="42" t="str">
        <f ca="1">IF(AND('Danh sach'!$C29&lt;&gt;"",'Danh sach'!$O29=""),IF('Danh sach'!$N29&gt;=TODAY(),'Danh sach'!E29,""),"")</f>
        <v/>
      </c>
      <c r="F29" s="68" t="str">
        <f t="shared" ca="1" si="0"/>
        <v/>
      </c>
      <c r="G29" s="69"/>
      <c r="H29" s="70"/>
      <c r="I29" s="53"/>
    </row>
    <row r="30" spans="1:9" ht="16.2" x14ac:dyDescent="0.3">
      <c r="A30" s="52"/>
      <c r="B30" s="65" t="str">
        <f ca="1">IF(AND('Danh sach'!$C30&lt;&gt;"",'Danh sach'!$O30=""),IF('Danh sach'!$N30&gt;=TODAY(),'Danh sach'!D30,""),"")</f>
        <v/>
      </c>
      <c r="C30" s="66"/>
      <c r="D30" s="67"/>
      <c r="E30" s="42" t="str">
        <f ca="1">IF(AND('Danh sach'!$C30&lt;&gt;"",'Danh sach'!$O30=""),IF('Danh sach'!$N30&gt;=TODAY(),'Danh sach'!E30,""),"")</f>
        <v/>
      </c>
      <c r="F30" s="68" t="str">
        <f t="shared" ca="1" si="0"/>
        <v/>
      </c>
      <c r="G30" s="69"/>
      <c r="H30" s="70"/>
      <c r="I30" s="53"/>
    </row>
    <row r="31" spans="1:9" ht="16.2" x14ac:dyDescent="0.3">
      <c r="A31" s="52"/>
      <c r="B31" s="65" t="str">
        <f ca="1">IF(AND('Danh sach'!$C31&lt;&gt;"",'Danh sach'!$O31=""),IF('Danh sach'!$N31&gt;=TODAY(),'Danh sach'!D31,""),"")</f>
        <v/>
      </c>
      <c r="C31" s="66"/>
      <c r="D31" s="67"/>
      <c r="E31" s="42" t="str">
        <f ca="1">IF(AND('Danh sach'!$C31&lt;&gt;"",'Danh sach'!$O31=""),IF('Danh sach'!$N31&gt;=TODAY(),'Danh sach'!E31,""),"")</f>
        <v/>
      </c>
      <c r="F31" s="68" t="str">
        <f t="shared" ca="1" si="0"/>
        <v/>
      </c>
      <c r="G31" s="69"/>
      <c r="H31" s="70"/>
      <c r="I31" s="53"/>
    </row>
    <row r="32" spans="1:9" ht="16.2" x14ac:dyDescent="0.3">
      <c r="A32" s="52"/>
      <c r="B32" s="65" t="str">
        <f ca="1">IF(AND('Danh sach'!$C32&lt;&gt;"",'Danh sach'!$O32=""),IF('Danh sach'!$N32&gt;=TODAY(),'Danh sach'!D32,""),"")</f>
        <v/>
      </c>
      <c r="C32" s="66"/>
      <c r="D32" s="67"/>
      <c r="E32" s="42" t="str">
        <f ca="1">IF(AND('Danh sach'!$C32&lt;&gt;"",'Danh sach'!$O32=""),IF('Danh sach'!$N32&gt;=TODAY(),'Danh sach'!E32,""),"")</f>
        <v/>
      </c>
      <c r="F32" s="68" t="str">
        <f t="shared" ca="1" si="0"/>
        <v/>
      </c>
      <c r="G32" s="69"/>
      <c r="H32" s="70"/>
      <c r="I32" s="53"/>
    </row>
    <row r="33" spans="1:9" ht="16.2" x14ac:dyDescent="0.3">
      <c r="A33" s="52"/>
      <c r="B33" s="65" t="str">
        <f ca="1">IF(AND('Danh sach'!$C33&lt;&gt;"",'Danh sach'!$O33=""),IF('Danh sach'!$N33&gt;=TODAY(),'Danh sach'!D33,""),"")</f>
        <v/>
      </c>
      <c r="C33" s="66"/>
      <c r="D33" s="67"/>
      <c r="E33" s="42" t="str">
        <f ca="1">IF(AND('Danh sach'!$C33&lt;&gt;"",'Danh sach'!$O33=""),IF('Danh sach'!$N33&gt;=TODAY(),'Danh sach'!E33,""),"")</f>
        <v/>
      </c>
      <c r="F33" s="68" t="str">
        <f t="shared" ca="1" si="0"/>
        <v/>
      </c>
      <c r="G33" s="69"/>
      <c r="H33" s="70"/>
      <c r="I33" s="53"/>
    </row>
    <row r="34" spans="1:9" ht="16.2" x14ac:dyDescent="0.3">
      <c r="A34" s="52"/>
      <c r="B34" s="65" t="str">
        <f ca="1">IF(AND('Danh sach'!$C34&lt;&gt;"",'Danh sach'!$O34=""),IF('Danh sach'!$N34&gt;=TODAY(),'Danh sach'!D34,""),"")</f>
        <v/>
      </c>
      <c r="C34" s="66"/>
      <c r="D34" s="67"/>
      <c r="E34" s="42" t="str">
        <f ca="1">IF(AND('Danh sach'!$C34&lt;&gt;"",'Danh sach'!$O34=""),IF('Danh sach'!$N34&gt;=TODAY(),'Danh sach'!E34,""),"")</f>
        <v/>
      </c>
      <c r="F34" s="68" t="str">
        <f t="shared" ca="1" si="0"/>
        <v/>
      </c>
      <c r="G34" s="69"/>
      <c r="H34" s="70"/>
      <c r="I34" s="53"/>
    </row>
    <row r="35" spans="1:9" ht="16.2" x14ac:dyDescent="0.3">
      <c r="A35" s="52"/>
      <c r="B35" s="65" t="str">
        <f ca="1">IF(AND('Danh sach'!$C35&lt;&gt;"",'Danh sach'!$O35=""),IF('Danh sach'!$N35&gt;=TODAY(),'Danh sach'!D35,""),"")</f>
        <v/>
      </c>
      <c r="C35" s="66"/>
      <c r="D35" s="67"/>
      <c r="E35" s="42" t="str">
        <f ca="1">IF(AND('Danh sach'!$C35&lt;&gt;"",'Danh sach'!$O35=""),IF('Danh sach'!$N35&gt;=TODAY(),'Danh sach'!E35,""),"")</f>
        <v/>
      </c>
      <c r="F35" s="68" t="str">
        <f t="shared" ca="1" si="0"/>
        <v/>
      </c>
      <c r="G35" s="69"/>
      <c r="H35" s="70"/>
      <c r="I35" s="53"/>
    </row>
    <row r="36" spans="1:9" ht="16.2" x14ac:dyDescent="0.3">
      <c r="A36" s="52"/>
      <c r="B36" s="65" t="str">
        <f ca="1">IF(AND('Danh sach'!$C36&lt;&gt;"",'Danh sach'!$O36=""),IF('Danh sach'!$N36&gt;=TODAY(),'Danh sach'!D36,""),"")</f>
        <v/>
      </c>
      <c r="C36" s="66"/>
      <c r="D36" s="67"/>
      <c r="E36" s="42" t="str">
        <f ca="1">IF(AND('Danh sach'!$C36&lt;&gt;"",'Danh sach'!$O36=""),IF('Danh sach'!$N36&gt;=TODAY(),'Danh sach'!E36,""),"")</f>
        <v/>
      </c>
      <c r="F36" s="68" t="str">
        <f t="shared" ca="1" si="0"/>
        <v/>
      </c>
      <c r="G36" s="69"/>
      <c r="H36" s="70"/>
      <c r="I36" s="53"/>
    </row>
    <row r="37" spans="1:9" ht="16.2" x14ac:dyDescent="0.3">
      <c r="A37" s="52"/>
      <c r="B37" s="65" t="str">
        <f ca="1">IF(AND('Danh sach'!$C37&lt;&gt;"",'Danh sach'!$O37=""),IF('Danh sach'!$N37&gt;=TODAY(),'Danh sach'!D37,""),"")</f>
        <v/>
      </c>
      <c r="C37" s="66"/>
      <c r="D37" s="67"/>
      <c r="E37" s="42" t="str">
        <f ca="1">IF(AND('Danh sach'!$C37&lt;&gt;"",'Danh sach'!$O37=""),IF('Danh sach'!$N37&gt;=TODAY(),'Danh sach'!E37,""),"")</f>
        <v/>
      </c>
      <c r="F37" s="68" t="str">
        <f t="shared" ca="1" si="0"/>
        <v/>
      </c>
      <c r="G37" s="69"/>
      <c r="H37" s="70"/>
      <c r="I37" s="53"/>
    </row>
    <row r="38" spans="1:9" ht="16.2" x14ac:dyDescent="0.3">
      <c r="A38" s="52"/>
      <c r="B38" s="65" t="str">
        <f ca="1">IF(AND('Danh sach'!$C38&lt;&gt;"",'Danh sach'!$O38=""),IF('Danh sach'!$N38&gt;=TODAY(),'Danh sach'!D38,""),"")</f>
        <v/>
      </c>
      <c r="C38" s="66"/>
      <c r="D38" s="67"/>
      <c r="E38" s="42" t="str">
        <f ca="1">IF(AND('Danh sach'!$C38&lt;&gt;"",'Danh sach'!$O38=""),IF('Danh sach'!$N38&gt;=TODAY(),'Danh sach'!E38,""),"")</f>
        <v/>
      </c>
      <c r="F38" s="68" t="str">
        <f t="shared" ca="1" si="0"/>
        <v/>
      </c>
      <c r="G38" s="69"/>
      <c r="H38" s="70"/>
      <c r="I38" s="53"/>
    </row>
    <row r="39" spans="1:9" ht="16.2" x14ac:dyDescent="0.3">
      <c r="A39" s="52"/>
      <c r="B39" s="65" t="str">
        <f ca="1">IF(AND('Danh sach'!$C39&lt;&gt;"",'Danh sach'!$O39=""),IF('Danh sach'!$N39&gt;=TODAY(),'Danh sach'!D39,""),"")</f>
        <v/>
      </c>
      <c r="C39" s="66"/>
      <c r="D39" s="67"/>
      <c r="E39" s="42" t="str">
        <f ca="1">IF(AND('Danh sach'!$C39&lt;&gt;"",'Danh sach'!$O39=""),IF('Danh sach'!$N39&gt;=TODAY(),'Danh sach'!E39,""),"")</f>
        <v/>
      </c>
      <c r="F39" s="68" t="str">
        <f t="shared" ca="1" si="0"/>
        <v/>
      </c>
      <c r="G39" s="69"/>
      <c r="H39" s="70"/>
      <c r="I39" s="53"/>
    </row>
    <row r="40" spans="1:9" ht="16.2" x14ac:dyDescent="0.3">
      <c r="A40" s="52"/>
      <c r="B40" s="65" t="str">
        <f ca="1">IF(AND('Danh sach'!$C40&lt;&gt;"",'Danh sach'!$O40=""),IF('Danh sach'!$N40&gt;=TODAY(),'Danh sach'!D40,""),"")</f>
        <v/>
      </c>
      <c r="C40" s="66"/>
      <c r="D40" s="67"/>
      <c r="E40" s="42" t="str">
        <f ca="1">IF(AND('Danh sach'!$C40&lt;&gt;"",'Danh sach'!$O40=""),IF('Danh sach'!$N40&gt;=TODAY(),'Danh sach'!E40,""),"")</f>
        <v/>
      </c>
      <c r="F40" s="68" t="str">
        <f t="shared" ca="1" si="0"/>
        <v/>
      </c>
      <c r="G40" s="69"/>
      <c r="H40" s="70"/>
      <c r="I40" s="53"/>
    </row>
    <row r="41" spans="1:9" ht="16.2" x14ac:dyDescent="0.3">
      <c r="A41" s="52"/>
      <c r="B41" s="65" t="str">
        <f ca="1">IF(AND('Danh sach'!$C41&lt;&gt;"",'Danh sach'!$O41=""),IF('Danh sach'!$N41&gt;=TODAY(),'Danh sach'!D41,""),"")</f>
        <v/>
      </c>
      <c r="C41" s="66"/>
      <c r="D41" s="67"/>
      <c r="E41" s="42" t="str">
        <f ca="1">IF(AND('Danh sach'!$C41&lt;&gt;"",'Danh sach'!$O41=""),IF('Danh sach'!$N41&gt;=TODAY(),'Danh sach'!E41,""),"")</f>
        <v/>
      </c>
      <c r="F41" s="68" t="str">
        <f t="shared" ca="1" si="0"/>
        <v/>
      </c>
      <c r="G41" s="69"/>
      <c r="H41" s="70"/>
      <c r="I41" s="53"/>
    </row>
    <row r="42" spans="1:9" ht="16.2" x14ac:dyDescent="0.3">
      <c r="A42" s="52"/>
      <c r="B42" s="65" t="str">
        <f ca="1">IF(AND('Danh sach'!$C42&lt;&gt;"",'Danh sach'!$O42=""),IF('Danh sach'!$N42&gt;=TODAY(),'Danh sach'!D42,""),"")</f>
        <v/>
      </c>
      <c r="C42" s="66"/>
      <c r="D42" s="67"/>
      <c r="E42" s="42" t="str">
        <f ca="1">IF(AND('Danh sach'!$C42&lt;&gt;"",'Danh sach'!$O42=""),IF('Danh sach'!$N42&gt;=TODAY(),'Danh sach'!E42,""),"")</f>
        <v/>
      </c>
      <c r="F42" s="68" t="str">
        <f t="shared" ca="1" si="0"/>
        <v/>
      </c>
      <c r="G42" s="69"/>
      <c r="H42" s="70"/>
      <c r="I42" s="53"/>
    </row>
    <row r="43" spans="1:9" ht="16.2" x14ac:dyDescent="0.3">
      <c r="A43" s="52"/>
      <c r="B43" s="65" t="str">
        <f ca="1">IF(AND('Danh sach'!$C43&lt;&gt;"",'Danh sach'!$O43=""),IF('Danh sach'!$N43&gt;=TODAY(),'Danh sach'!D43,""),"")</f>
        <v/>
      </c>
      <c r="C43" s="66"/>
      <c r="D43" s="67"/>
      <c r="E43" s="42" t="str">
        <f ca="1">IF(AND('Danh sach'!$C43&lt;&gt;"",'Danh sach'!$O43=""),IF('Danh sach'!$N43&gt;=TODAY(),'Danh sach'!E43,""),"")</f>
        <v/>
      </c>
      <c r="F43" s="68" t="str">
        <f t="shared" ca="1" si="0"/>
        <v/>
      </c>
      <c r="G43" s="69"/>
      <c r="H43" s="70"/>
      <c r="I43" s="53"/>
    </row>
    <row r="44" spans="1:9" ht="16.2" x14ac:dyDescent="0.3">
      <c r="A44" s="52"/>
      <c r="B44" s="65" t="str">
        <f ca="1">IF(AND('Danh sach'!$C44&lt;&gt;"",'Danh sach'!$O44=""),IF('Danh sach'!$N44&gt;=TODAY(),'Danh sach'!D44,""),"")</f>
        <v/>
      </c>
      <c r="C44" s="66"/>
      <c r="D44" s="67"/>
      <c r="E44" s="42" t="str">
        <f ca="1">IF(AND('Danh sach'!$C44&lt;&gt;"",'Danh sach'!$O44=""),IF('Danh sach'!$N44&gt;=TODAY(),'Danh sach'!E44,""),"")</f>
        <v/>
      </c>
      <c r="F44" s="68" t="str">
        <f t="shared" ca="1" si="0"/>
        <v/>
      </c>
      <c r="G44" s="69"/>
      <c r="H44" s="70"/>
      <c r="I44" s="53"/>
    </row>
    <row r="45" spans="1:9" ht="16.2" x14ac:dyDescent="0.3">
      <c r="A45" s="52"/>
      <c r="B45" s="65" t="str">
        <f ca="1">IF(AND('Danh sach'!$C45&lt;&gt;"",'Danh sach'!$O45=""),IF('Danh sach'!$N45&gt;=TODAY(),'Danh sach'!D45,""),"")</f>
        <v/>
      </c>
      <c r="C45" s="66"/>
      <c r="D45" s="67"/>
      <c r="E45" s="42" t="str">
        <f ca="1">IF(AND('Danh sach'!$C45&lt;&gt;"",'Danh sach'!$O45=""),IF('Danh sach'!$N45&gt;=TODAY(),'Danh sach'!E45,""),"")</f>
        <v/>
      </c>
      <c r="F45" s="68" t="str">
        <f t="shared" ca="1" si="0"/>
        <v/>
      </c>
      <c r="G45" s="69"/>
      <c r="H45" s="70"/>
      <c r="I45" s="53"/>
    </row>
    <row r="46" spans="1:9" ht="16.2" x14ac:dyDescent="0.3">
      <c r="A46" s="52"/>
      <c r="B46" s="65" t="str">
        <f ca="1">IF(AND('Danh sach'!$C46&lt;&gt;"",'Danh sach'!$O46=""),IF('Danh sach'!$N46&gt;=TODAY(),'Danh sach'!D46,""),"")</f>
        <v/>
      </c>
      <c r="C46" s="66"/>
      <c r="D46" s="67"/>
      <c r="E46" s="42" t="str">
        <f ca="1">IF(AND('Danh sach'!$C46&lt;&gt;"",'Danh sach'!$O46=""),IF('Danh sach'!$N46&gt;=TODAY(),'Danh sach'!E46,""),"")</f>
        <v/>
      </c>
      <c r="F46" s="68" t="str">
        <f t="shared" ca="1" si="0"/>
        <v/>
      </c>
      <c r="G46" s="69"/>
      <c r="H46" s="70"/>
      <c r="I46" s="53"/>
    </row>
    <row r="47" spans="1:9" ht="16.2" x14ac:dyDescent="0.3">
      <c r="A47" s="52"/>
      <c r="B47" s="65" t="str">
        <f ca="1">IF(AND('Danh sach'!$C47&lt;&gt;"",'Danh sach'!$O47=""),IF('Danh sach'!$N47&gt;=TODAY(),'Danh sach'!D47,""),"")</f>
        <v/>
      </c>
      <c r="C47" s="66"/>
      <c r="D47" s="67"/>
      <c r="E47" s="42" t="str">
        <f ca="1">IF(AND('Danh sach'!$C47&lt;&gt;"",'Danh sach'!$O47=""),IF('Danh sach'!$N47&gt;=TODAY(),'Danh sach'!E47,""),"")</f>
        <v/>
      </c>
      <c r="F47" s="68" t="str">
        <f t="shared" ca="1" si="0"/>
        <v/>
      </c>
      <c r="G47" s="69"/>
      <c r="H47" s="70"/>
      <c r="I47" s="53"/>
    </row>
    <row r="48" spans="1:9" ht="16.2" x14ac:dyDescent="0.3">
      <c r="A48" s="52"/>
      <c r="B48" s="65" t="str">
        <f ca="1">IF(AND('Danh sach'!$C48&lt;&gt;"",'Danh sach'!$O48=""),IF('Danh sach'!$N48&gt;=TODAY(),'Danh sach'!D48,""),"")</f>
        <v/>
      </c>
      <c r="C48" s="66"/>
      <c r="D48" s="67"/>
      <c r="E48" s="42" t="str">
        <f ca="1">IF(AND('Danh sach'!$C48&lt;&gt;"",'Danh sach'!$O48=""),IF('Danh sach'!$N48&gt;=TODAY(),'Danh sach'!E48,""),"")</f>
        <v/>
      </c>
      <c r="F48" s="68" t="str">
        <f t="shared" ca="1" si="0"/>
        <v/>
      </c>
      <c r="G48" s="69"/>
      <c r="H48" s="70"/>
      <c r="I48" s="53"/>
    </row>
    <row r="49" spans="1:9" ht="16.2" x14ac:dyDescent="0.3">
      <c r="A49" s="52"/>
      <c r="B49" s="65" t="str">
        <f ca="1">IF(AND('Danh sach'!$C49&lt;&gt;"",'Danh sach'!$O49=""),IF('Danh sach'!$N49&gt;=TODAY(),'Danh sach'!D49,""),"")</f>
        <v/>
      </c>
      <c r="C49" s="66"/>
      <c r="D49" s="67"/>
      <c r="E49" s="42" t="str">
        <f ca="1">IF(AND('Danh sach'!$C49&lt;&gt;"",'Danh sach'!$O49=""),IF('Danh sach'!$N49&gt;=TODAY(),'Danh sach'!E49,""),"")</f>
        <v/>
      </c>
      <c r="F49" s="68" t="str">
        <f t="shared" ca="1" si="0"/>
        <v/>
      </c>
      <c r="G49" s="69"/>
      <c r="H49" s="70"/>
      <c r="I49" s="53"/>
    </row>
    <row r="50" spans="1:9" ht="16.2" x14ac:dyDescent="0.3">
      <c r="A50" s="52"/>
      <c r="B50" s="65" t="str">
        <f ca="1">IF(AND('Danh sach'!$C50&lt;&gt;"",'Danh sach'!$O50=""),IF('Danh sach'!$N50&gt;=TODAY(),'Danh sach'!D50,""),"")</f>
        <v/>
      </c>
      <c r="C50" s="66"/>
      <c r="D50" s="67"/>
      <c r="E50" s="42" t="str">
        <f ca="1">IF(AND('Danh sach'!$C50&lt;&gt;"",'Danh sach'!$O50=""),IF('Danh sach'!$N50&gt;=TODAY(),'Danh sach'!E50,""),"")</f>
        <v/>
      </c>
      <c r="F50" s="68" t="str">
        <f t="shared" ca="1" si="0"/>
        <v/>
      </c>
      <c r="G50" s="69"/>
      <c r="H50" s="70"/>
      <c r="I50" s="53"/>
    </row>
    <row r="51" spans="1:9" ht="16.2" x14ac:dyDescent="0.3">
      <c r="A51" s="52"/>
      <c r="B51" s="65" t="str">
        <f ca="1">IF(AND('Danh sach'!$C51&lt;&gt;"",'Danh sach'!$O51=""),IF('Danh sach'!$N51&gt;=TODAY(),'Danh sach'!D51,""),"")</f>
        <v/>
      </c>
      <c r="C51" s="66"/>
      <c r="D51" s="67"/>
      <c r="E51" s="42" t="str">
        <f ca="1">IF(AND('Danh sach'!$C51&lt;&gt;"",'Danh sach'!$O51=""),IF('Danh sach'!$N51&gt;=TODAY(),'Danh sach'!E51,""),"")</f>
        <v/>
      </c>
      <c r="F51" s="68" t="str">
        <f t="shared" ca="1" si="0"/>
        <v/>
      </c>
      <c r="G51" s="69"/>
      <c r="H51" s="70"/>
      <c r="I51" s="53"/>
    </row>
    <row r="52" spans="1:9" ht="16.2" x14ac:dyDescent="0.3">
      <c r="A52" s="52"/>
      <c r="B52" s="65" t="str">
        <f ca="1">IF(AND('Danh sach'!$C52&lt;&gt;"",'Danh sach'!$O52=""),IF('Danh sach'!$N52&gt;=TODAY(),'Danh sach'!D52,""),"")</f>
        <v/>
      </c>
      <c r="C52" s="66"/>
      <c r="D52" s="67"/>
      <c r="E52" s="42" t="str">
        <f ca="1">IF(AND('Danh sach'!$C52&lt;&gt;"",'Danh sach'!$O52=""),IF('Danh sach'!$N52&gt;=TODAY(),'Danh sach'!E52,""),"")</f>
        <v/>
      </c>
      <c r="F52" s="68" t="str">
        <f t="shared" ca="1" si="0"/>
        <v/>
      </c>
      <c r="G52" s="69"/>
      <c r="H52" s="70"/>
      <c r="I52" s="53"/>
    </row>
    <row r="53" spans="1:9" ht="16.2" x14ac:dyDescent="0.3">
      <c r="A53" s="52"/>
      <c r="B53" s="65" t="str">
        <f ca="1">IF(AND('Danh sach'!$C53&lt;&gt;"",'Danh sach'!$O53=""),IF('Danh sach'!$N53&gt;=TODAY(),'Danh sach'!D53,""),"")</f>
        <v/>
      </c>
      <c r="C53" s="66"/>
      <c r="D53" s="67"/>
      <c r="E53" s="42" t="str">
        <f ca="1">IF(AND('Danh sach'!$C53&lt;&gt;"",'Danh sach'!$O53=""),IF('Danh sach'!$N53&gt;=TODAY(),'Danh sach'!E53,""),"")</f>
        <v/>
      </c>
      <c r="F53" s="68" t="str">
        <f t="shared" ca="1" si="0"/>
        <v/>
      </c>
      <c r="G53" s="69"/>
      <c r="H53" s="70"/>
      <c r="I53" s="53"/>
    </row>
    <row r="54" spans="1:9" ht="16.2" x14ac:dyDescent="0.3">
      <c r="A54" s="52"/>
      <c r="B54" s="65" t="str">
        <f ca="1">IF(AND('Danh sach'!$C54&lt;&gt;"",'Danh sach'!$O54=""),IF('Danh sach'!$N54&gt;=TODAY(),'Danh sach'!D54,""),"")</f>
        <v/>
      </c>
      <c r="C54" s="66"/>
      <c r="D54" s="67"/>
      <c r="E54" s="42" t="str">
        <f ca="1">IF(AND('Danh sach'!$C54&lt;&gt;"",'Danh sach'!$O54=""),IF('Danh sach'!$N54&gt;=TODAY(),'Danh sach'!E54,""),"")</f>
        <v/>
      </c>
      <c r="F54" s="68" t="str">
        <f t="shared" ca="1" si="0"/>
        <v/>
      </c>
      <c r="G54" s="69"/>
      <c r="H54" s="70"/>
      <c r="I54" s="53"/>
    </row>
    <row r="55" spans="1:9" ht="16.2" x14ac:dyDescent="0.3">
      <c r="A55" s="52"/>
      <c r="B55" s="65" t="str">
        <f ca="1">IF(AND('Danh sach'!$C55&lt;&gt;"",'Danh sach'!$O55=""),IF('Danh sach'!$N55&gt;=TODAY(),'Danh sach'!D55,""),"")</f>
        <v/>
      </c>
      <c r="C55" s="66"/>
      <c r="D55" s="67"/>
      <c r="E55" s="42" t="str">
        <f ca="1">IF(AND('Danh sach'!$C55&lt;&gt;"",'Danh sach'!$O55=""),IF('Danh sach'!$N55&gt;=TODAY(),'Danh sach'!E55,""),"")</f>
        <v/>
      </c>
      <c r="F55" s="68" t="str">
        <f t="shared" ca="1" si="0"/>
        <v/>
      </c>
      <c r="G55" s="69"/>
      <c r="H55" s="70"/>
      <c r="I55" s="53"/>
    </row>
    <row r="56" spans="1:9" ht="16.2" x14ac:dyDescent="0.3">
      <c r="A56" s="52"/>
      <c r="B56" s="65" t="str">
        <f ca="1">IF(AND('Danh sach'!$C56&lt;&gt;"",'Danh sach'!$O56=""),IF('Danh sach'!$N56&gt;=TODAY(),'Danh sach'!D56,""),"")</f>
        <v/>
      </c>
      <c r="C56" s="66"/>
      <c r="D56" s="67"/>
      <c r="E56" s="42" t="str">
        <f ca="1">IF(AND('Danh sach'!$C56&lt;&gt;"",'Danh sach'!$O56=""),IF('Danh sach'!$N56&gt;=TODAY(),'Danh sach'!E56,""),"")</f>
        <v/>
      </c>
      <c r="F56" s="68" t="str">
        <f t="shared" ca="1" si="0"/>
        <v/>
      </c>
      <c r="G56" s="69"/>
      <c r="H56" s="70"/>
      <c r="I56" s="53"/>
    </row>
    <row r="57" spans="1:9" ht="16.2" x14ac:dyDescent="0.3">
      <c r="A57" s="52"/>
      <c r="B57" s="65" t="str">
        <f ca="1">IF(AND('Danh sach'!$C57&lt;&gt;"",'Danh sach'!$O57=""),IF('Danh sach'!$N57&gt;=TODAY(),'Danh sach'!D57,""),"")</f>
        <v/>
      </c>
      <c r="C57" s="66"/>
      <c r="D57" s="67"/>
      <c r="E57" s="42" t="str">
        <f ca="1">IF(AND('Danh sach'!$C57&lt;&gt;"",'Danh sach'!$O57=""),IF('Danh sach'!$N57&gt;=TODAY(),'Danh sach'!E57,""),"")</f>
        <v/>
      </c>
      <c r="F57" s="68" t="str">
        <f t="shared" ca="1" si="0"/>
        <v/>
      </c>
      <c r="G57" s="69"/>
      <c r="H57" s="70"/>
      <c r="I57" s="53"/>
    </row>
    <row r="58" spans="1:9" ht="16.2" x14ac:dyDescent="0.3">
      <c r="A58" s="52"/>
      <c r="B58" s="65" t="str">
        <f ca="1">IF(AND('Danh sach'!$C58&lt;&gt;"",'Danh sach'!$O58=""),IF('Danh sach'!$N58&gt;=TODAY(),'Danh sach'!D58,""),"")</f>
        <v/>
      </c>
      <c r="C58" s="66"/>
      <c r="D58" s="67"/>
      <c r="E58" s="42" t="str">
        <f ca="1">IF(AND('Danh sach'!$C58&lt;&gt;"",'Danh sach'!$O58=""),IF('Danh sach'!$N58&gt;=TODAY(),'Danh sach'!E58,""),"")</f>
        <v/>
      </c>
      <c r="F58" s="68" t="str">
        <f t="shared" ca="1" si="0"/>
        <v/>
      </c>
      <c r="G58" s="69"/>
      <c r="H58" s="70"/>
      <c r="I58" s="53"/>
    </row>
    <row r="59" spans="1:9" ht="16.2" x14ac:dyDescent="0.3">
      <c r="A59" s="52"/>
      <c r="B59" s="65" t="str">
        <f ca="1">IF(AND('Danh sach'!$C59&lt;&gt;"",'Danh sach'!$O59=""),IF('Danh sach'!$N59&gt;=TODAY(),'Danh sach'!D59,""),"")</f>
        <v/>
      </c>
      <c r="C59" s="66"/>
      <c r="D59" s="67"/>
      <c r="E59" s="42" t="str">
        <f ca="1">IF(AND('Danh sach'!$C59&lt;&gt;"",'Danh sach'!$O59=""),IF('Danh sach'!$N59&gt;=TODAY(),'Danh sach'!E59,""),"")</f>
        <v/>
      </c>
      <c r="F59" s="68" t="str">
        <f t="shared" ca="1" si="0"/>
        <v/>
      </c>
      <c r="G59" s="69"/>
      <c r="H59" s="70"/>
      <c r="I59" s="53"/>
    </row>
    <row r="60" spans="1:9" ht="16.2" x14ac:dyDescent="0.3">
      <c r="A60" s="52"/>
      <c r="B60" s="65" t="str">
        <f ca="1">IF(AND('Danh sach'!$C60&lt;&gt;"",'Danh sach'!$O60=""),IF('Danh sach'!$N60&gt;=TODAY(),'Danh sach'!D60,""),"")</f>
        <v/>
      </c>
      <c r="C60" s="66"/>
      <c r="D60" s="67"/>
      <c r="E60" s="42" t="str">
        <f ca="1">IF(AND('Danh sach'!$C60&lt;&gt;"",'Danh sach'!$O60=""),IF('Danh sach'!$N60&gt;=TODAY(),'Danh sach'!E60,""),"")</f>
        <v/>
      </c>
      <c r="F60" s="68" t="str">
        <f t="shared" ca="1" si="0"/>
        <v/>
      </c>
      <c r="G60" s="69"/>
      <c r="H60" s="70"/>
      <c r="I60" s="53"/>
    </row>
    <row r="61" spans="1:9" ht="16.2" x14ac:dyDescent="0.3">
      <c r="A61" s="52"/>
      <c r="B61" s="65" t="str">
        <f ca="1">IF(AND('Danh sach'!$C61&lt;&gt;"",'Danh sach'!$O61=""),IF('Danh sach'!$N61&gt;=TODAY(),'Danh sach'!D61,""),"")</f>
        <v/>
      </c>
      <c r="C61" s="66"/>
      <c r="D61" s="67"/>
      <c r="E61" s="42" t="str">
        <f ca="1">IF(AND('Danh sach'!$C61&lt;&gt;"",'Danh sach'!$O61=""),IF('Danh sach'!$N61&gt;=TODAY(),'Danh sach'!E61,""),"")</f>
        <v/>
      </c>
      <c r="F61" s="68" t="str">
        <f t="shared" ca="1" si="0"/>
        <v/>
      </c>
      <c r="G61" s="69"/>
      <c r="H61" s="70"/>
      <c r="I61" s="53"/>
    </row>
    <row r="62" spans="1:9" ht="16.2" x14ac:dyDescent="0.3">
      <c r="A62" s="52"/>
      <c r="B62" s="65" t="str">
        <f ca="1">IF(AND('Danh sach'!$C62&lt;&gt;"",'Danh sach'!$O62=""),IF('Danh sach'!$N62&gt;=TODAY(),'Danh sach'!D62,""),"")</f>
        <v/>
      </c>
      <c r="C62" s="66"/>
      <c r="D62" s="67"/>
      <c r="E62" s="42" t="str">
        <f ca="1">IF(AND('Danh sach'!$C62&lt;&gt;"",'Danh sach'!$O62=""),IF('Danh sach'!$N62&gt;=TODAY(),'Danh sach'!E62,""),"")</f>
        <v/>
      </c>
      <c r="F62" s="68" t="str">
        <f t="shared" ca="1" si="0"/>
        <v/>
      </c>
      <c r="G62" s="69"/>
      <c r="H62" s="70"/>
      <c r="I62" s="53"/>
    </row>
    <row r="63" spans="1:9" ht="16.2" x14ac:dyDescent="0.3">
      <c r="A63" s="52"/>
      <c r="B63" s="65" t="str">
        <f ca="1">IF(AND('Danh sach'!$C63&lt;&gt;"",'Danh sach'!$O63=""),IF('Danh sach'!$N63&gt;=TODAY(),'Danh sach'!D63,""),"")</f>
        <v/>
      </c>
      <c r="C63" s="66"/>
      <c r="D63" s="67"/>
      <c r="E63" s="42" t="str">
        <f ca="1">IF(AND('Danh sach'!$C63&lt;&gt;"",'Danh sach'!$O63=""),IF('Danh sach'!$N63&gt;=TODAY(),'Danh sach'!E63,""),"")</f>
        <v/>
      </c>
      <c r="F63" s="68" t="str">
        <f t="shared" ca="1" si="0"/>
        <v/>
      </c>
      <c r="G63" s="69"/>
      <c r="H63" s="70"/>
      <c r="I63" s="53"/>
    </row>
    <row r="64" spans="1:9" ht="16.2" x14ac:dyDescent="0.3">
      <c r="A64" s="52"/>
      <c r="B64" s="65" t="str">
        <f ca="1">IF(AND('Danh sach'!$C64&lt;&gt;"",'Danh sach'!$O64=""),IF('Danh sach'!$N64&gt;=TODAY(),'Danh sach'!D64,""),"")</f>
        <v/>
      </c>
      <c r="C64" s="66"/>
      <c r="D64" s="67"/>
      <c r="E64" s="42" t="str">
        <f ca="1">IF(AND('Danh sach'!$C64&lt;&gt;"",'Danh sach'!$O64=""),IF('Danh sach'!$N64&gt;=TODAY(),'Danh sach'!E64,""),"")</f>
        <v/>
      </c>
      <c r="F64" s="68" t="str">
        <f t="shared" ca="1" si="0"/>
        <v/>
      </c>
      <c r="G64" s="69"/>
      <c r="H64" s="70"/>
      <c r="I64" s="53"/>
    </row>
    <row r="65" spans="1:9" ht="16.2" x14ac:dyDescent="0.3">
      <c r="A65" s="52"/>
      <c r="B65" s="65" t="str">
        <f ca="1">IF(AND('Danh sach'!$C65&lt;&gt;"",'Danh sach'!$O65=""),IF('Danh sach'!$N65&gt;=TODAY(),'Danh sach'!D65,""),"")</f>
        <v/>
      </c>
      <c r="C65" s="66"/>
      <c r="D65" s="67"/>
      <c r="E65" s="42" t="str">
        <f ca="1">IF(AND('Danh sach'!$C65&lt;&gt;"",'Danh sach'!$O65=""),IF('Danh sach'!$N65&gt;=TODAY(),'Danh sach'!E65,""),"")</f>
        <v/>
      </c>
      <c r="F65" s="68" t="str">
        <f t="shared" ca="1" si="0"/>
        <v/>
      </c>
      <c r="G65" s="69"/>
      <c r="H65" s="70"/>
      <c r="I65" s="53"/>
    </row>
    <row r="66" spans="1:9" ht="16.2" x14ac:dyDescent="0.3">
      <c r="A66" s="52"/>
      <c r="B66" s="65" t="str">
        <f ca="1">IF(AND('Danh sach'!$C66&lt;&gt;"",'Danh sach'!$O66=""),IF('Danh sach'!$N66&gt;=TODAY(),'Danh sach'!D66,""),"")</f>
        <v/>
      </c>
      <c r="C66" s="66"/>
      <c r="D66" s="67"/>
      <c r="E66" s="42" t="str">
        <f ca="1">IF(AND('Danh sach'!$C66&lt;&gt;"",'Danh sach'!$O66=""),IF('Danh sach'!$N66&gt;=TODAY(),'Danh sach'!E66,""),"")</f>
        <v/>
      </c>
      <c r="F66" s="68" t="str">
        <f t="shared" ca="1" si="0"/>
        <v/>
      </c>
      <c r="G66" s="69"/>
      <c r="H66" s="70"/>
      <c r="I66" s="53"/>
    </row>
    <row r="67" spans="1:9" ht="16.2" x14ac:dyDescent="0.3">
      <c r="A67" s="52"/>
      <c r="B67" s="65" t="str">
        <f ca="1">IF(AND('Danh sach'!$C67&lt;&gt;"",'Danh sach'!$O67=""),IF('Danh sach'!$N67&gt;=TODAY(),'Danh sach'!D67,""),"")</f>
        <v/>
      </c>
      <c r="C67" s="66"/>
      <c r="D67" s="67"/>
      <c r="E67" s="42" t="str">
        <f ca="1">IF(AND('Danh sach'!$C67&lt;&gt;"",'Danh sach'!$O67=""),IF('Danh sach'!$N67&gt;=TODAY(),'Danh sach'!E67,""),"")</f>
        <v/>
      </c>
      <c r="F67" s="68" t="str">
        <f t="shared" ca="1" si="0"/>
        <v/>
      </c>
      <c r="G67" s="69"/>
      <c r="H67" s="70"/>
      <c r="I67" s="53"/>
    </row>
    <row r="68" spans="1:9" ht="16.2" x14ac:dyDescent="0.3">
      <c r="A68" s="52"/>
      <c r="B68" s="65" t="str">
        <f ca="1">IF(AND('Danh sach'!$C68&lt;&gt;"",'Danh sach'!$O68=""),IF('Danh sach'!$N68&gt;=TODAY(),'Danh sach'!D68,""),"")</f>
        <v/>
      </c>
      <c r="C68" s="66"/>
      <c r="D68" s="67"/>
      <c r="E68" s="42" t="str">
        <f ca="1">IF(AND('Danh sach'!$C68&lt;&gt;"",'Danh sach'!$O68=""),IF('Danh sach'!$N68&gt;=TODAY(),'Danh sach'!E68,""),"")</f>
        <v/>
      </c>
      <c r="F68" s="68" t="str">
        <f t="shared" ca="1" si="0"/>
        <v/>
      </c>
      <c r="G68" s="69"/>
      <c r="H68" s="70"/>
      <c r="I68" s="53"/>
    </row>
    <row r="69" spans="1:9" ht="16.2" x14ac:dyDescent="0.3">
      <c r="A69" s="52"/>
      <c r="B69" s="65" t="str">
        <f ca="1">IF(AND('Danh sach'!$C69&lt;&gt;"",'Danh sach'!$O69=""),IF('Danh sach'!$N69&gt;=TODAY(),'Danh sach'!D69,""),"")</f>
        <v/>
      </c>
      <c r="C69" s="66"/>
      <c r="D69" s="67"/>
      <c r="E69" s="42" t="str">
        <f ca="1">IF(AND('Danh sach'!$C69&lt;&gt;"",'Danh sach'!$O69=""),IF('Danh sach'!$N69&gt;=TODAY(),'Danh sach'!E69,""),"")</f>
        <v/>
      </c>
      <c r="F69" s="68" t="str">
        <f t="shared" ca="1" si="0"/>
        <v/>
      </c>
      <c r="G69" s="69"/>
      <c r="H69" s="70"/>
      <c r="I69" s="53"/>
    </row>
    <row r="70" spans="1:9" ht="16.2" x14ac:dyDescent="0.3">
      <c r="A70" s="52"/>
      <c r="B70" s="65" t="str">
        <f ca="1">IF(AND('Danh sach'!$C70&lt;&gt;"",'Danh sach'!$O70=""),IF('Danh sach'!$N70&gt;=TODAY(),'Danh sach'!D70,""),"")</f>
        <v/>
      </c>
      <c r="C70" s="66"/>
      <c r="D70" s="67"/>
      <c r="E70" s="42" t="str">
        <f ca="1">IF(AND('Danh sach'!$C70&lt;&gt;"",'Danh sach'!$O70=""),IF('Danh sach'!$N70&gt;=TODAY(),'Danh sach'!E70,""),"")</f>
        <v/>
      </c>
      <c r="F70" s="68" t="str">
        <f t="shared" ca="1" si="0"/>
        <v/>
      </c>
      <c r="G70" s="69"/>
      <c r="H70" s="70"/>
      <c r="I70" s="53"/>
    </row>
    <row r="71" spans="1:9" ht="16.2" x14ac:dyDescent="0.3">
      <c r="A71" s="52"/>
      <c r="B71" s="65" t="str">
        <f ca="1">IF(AND('Danh sach'!$C71&lt;&gt;"",'Danh sach'!$O71=""),IF('Danh sach'!$N71&gt;=TODAY(),'Danh sach'!D71,""),"")</f>
        <v/>
      </c>
      <c r="C71" s="66"/>
      <c r="D71" s="67"/>
      <c r="E71" s="42" t="str">
        <f ca="1">IF(AND('Danh sach'!$C71&lt;&gt;"",'Danh sach'!$O71=""),IF('Danh sach'!$N71&gt;=TODAY(),'Danh sach'!E71,""),"")</f>
        <v/>
      </c>
      <c r="F71" s="68" t="str">
        <f t="shared" ca="1" si="0"/>
        <v/>
      </c>
      <c r="G71" s="69"/>
      <c r="H71" s="70"/>
      <c r="I71" s="53"/>
    </row>
    <row r="72" spans="1:9" ht="16.2" x14ac:dyDescent="0.3">
      <c r="A72" s="52"/>
      <c r="B72" s="65" t="str">
        <f ca="1">IF(AND('Danh sach'!$C72&lt;&gt;"",'Danh sach'!$O72=""),IF('Danh sach'!$N72&gt;=TODAY(),'Danh sach'!D72,""),"")</f>
        <v/>
      </c>
      <c r="C72" s="66"/>
      <c r="D72" s="67"/>
      <c r="E72" s="42" t="str">
        <f ca="1">IF(AND('Danh sach'!$C72&lt;&gt;"",'Danh sach'!$O72=""),IF('Danh sach'!$N72&gt;=TODAY(),'Danh sach'!E72,""),"")</f>
        <v/>
      </c>
      <c r="F72" s="68" t="str">
        <f t="shared" ca="1" si="0"/>
        <v/>
      </c>
      <c r="G72" s="69"/>
      <c r="H72" s="70"/>
      <c r="I72" s="53"/>
    </row>
    <row r="73" spans="1:9" ht="16.2" x14ac:dyDescent="0.3">
      <c r="A73" s="52"/>
      <c r="B73" s="65" t="str">
        <f ca="1">IF(AND('Danh sach'!$C73&lt;&gt;"",'Danh sach'!$O73=""),IF('Danh sach'!$N73&gt;=TODAY(),'Danh sach'!D73,""),"")</f>
        <v/>
      </c>
      <c r="C73" s="66"/>
      <c r="D73" s="67"/>
      <c r="E73" s="42" t="str">
        <f ca="1">IF(AND('Danh sach'!$C73&lt;&gt;"",'Danh sach'!$O73=""),IF('Danh sach'!$N73&gt;=TODAY(),'Danh sach'!E73,""),"")</f>
        <v/>
      </c>
      <c r="F73" s="68" t="str">
        <f t="shared" ca="1" si="0"/>
        <v/>
      </c>
      <c r="G73" s="69"/>
      <c r="H73" s="70"/>
      <c r="I73" s="53"/>
    </row>
    <row r="74" spans="1:9" ht="16.2" x14ac:dyDescent="0.3">
      <c r="A74" s="52"/>
      <c r="B74" s="65" t="str">
        <f ca="1">IF(AND('Danh sach'!$C74&lt;&gt;"",'Danh sach'!$O74=""),IF('Danh sach'!$N74&gt;=TODAY(),'Danh sach'!D74,""),"")</f>
        <v/>
      </c>
      <c r="C74" s="66"/>
      <c r="D74" s="67"/>
      <c r="E74" s="42" t="str">
        <f ca="1">IF(AND('Danh sach'!$C74&lt;&gt;"",'Danh sach'!$O74=""),IF('Danh sach'!$N74&gt;=TODAY(),'Danh sach'!E74,""),"")</f>
        <v/>
      </c>
      <c r="F74" s="68" t="str">
        <f t="shared" ca="1" si="0"/>
        <v/>
      </c>
      <c r="G74" s="69"/>
      <c r="H74" s="70"/>
      <c r="I74" s="53"/>
    </row>
    <row r="75" spans="1:9" ht="16.2" x14ac:dyDescent="0.3">
      <c r="A75" s="52"/>
      <c r="B75" s="65" t="str">
        <f ca="1">IF(AND('Danh sach'!$C75&lt;&gt;"",'Danh sach'!$O75=""),IF('Danh sach'!$N75&gt;=TODAY(),'Danh sach'!D75,""),"")</f>
        <v/>
      </c>
      <c r="C75" s="66"/>
      <c r="D75" s="67"/>
      <c r="E75" s="42" t="str">
        <f ca="1">IF(AND('Danh sach'!$C75&lt;&gt;"",'Danh sach'!$O75=""),IF('Danh sach'!$N75&gt;=TODAY(),'Danh sach'!E75,""),"")</f>
        <v/>
      </c>
      <c r="F75" s="68" t="str">
        <f t="shared" ca="1" si="0"/>
        <v/>
      </c>
      <c r="G75" s="69"/>
      <c r="H75" s="70"/>
      <c r="I75" s="53"/>
    </row>
    <row r="76" spans="1:9" ht="16.2" x14ac:dyDescent="0.3">
      <c r="A76" s="52"/>
      <c r="B76" s="65" t="str">
        <f ca="1">IF(AND('Danh sach'!$C76&lt;&gt;"",'Danh sach'!$O76=""),IF('Danh sach'!$N76&gt;=TODAY(),'Danh sach'!D76,""),"")</f>
        <v/>
      </c>
      <c r="C76" s="66"/>
      <c r="D76" s="67"/>
      <c r="E76" s="42" t="str">
        <f ca="1">IF(AND('Danh sach'!$C76&lt;&gt;"",'Danh sach'!$O76=""),IF('Danh sach'!$N76&gt;=TODAY(),'Danh sach'!E76,""),"")</f>
        <v/>
      </c>
      <c r="F76" s="68" t="str">
        <f t="shared" ref="F76:F90" ca="1" si="1">IF(B76="","","Check and stop")</f>
        <v/>
      </c>
      <c r="G76" s="69"/>
      <c r="H76" s="70"/>
      <c r="I76" s="53"/>
    </row>
    <row r="77" spans="1:9" ht="16.2" x14ac:dyDescent="0.3">
      <c r="A77" s="52"/>
      <c r="B77" s="65" t="str">
        <f ca="1">IF(AND('Danh sach'!$C77&lt;&gt;"",'Danh sach'!$O77=""),IF('Danh sach'!$N77&gt;=TODAY(),'Danh sach'!D77,""),"")</f>
        <v/>
      </c>
      <c r="C77" s="66"/>
      <c r="D77" s="67"/>
      <c r="E77" s="42" t="str">
        <f ca="1">IF(AND('Danh sach'!$C77&lt;&gt;"",'Danh sach'!$O77=""),IF('Danh sach'!$N77&gt;=TODAY(),'Danh sach'!E77,""),"")</f>
        <v/>
      </c>
      <c r="F77" s="68" t="str">
        <f t="shared" ca="1" si="1"/>
        <v/>
      </c>
      <c r="G77" s="69"/>
      <c r="H77" s="70"/>
      <c r="I77" s="53"/>
    </row>
    <row r="78" spans="1:9" ht="16.2" x14ac:dyDescent="0.3">
      <c r="A78" s="52"/>
      <c r="B78" s="65" t="str">
        <f ca="1">IF(AND('Danh sach'!$C78&lt;&gt;"",'Danh sach'!$O78=""),IF('Danh sach'!$N78&gt;=TODAY(),'Danh sach'!D78,""),"")</f>
        <v/>
      </c>
      <c r="C78" s="66"/>
      <c r="D78" s="67"/>
      <c r="E78" s="42" t="str">
        <f ca="1">IF(AND('Danh sach'!$C78&lt;&gt;"",'Danh sach'!$O78=""),IF('Danh sach'!$N78&gt;=TODAY(),'Danh sach'!E78,""),"")</f>
        <v/>
      </c>
      <c r="F78" s="68" t="str">
        <f t="shared" ca="1" si="1"/>
        <v/>
      </c>
      <c r="G78" s="69"/>
      <c r="H78" s="70"/>
      <c r="I78" s="53"/>
    </row>
    <row r="79" spans="1:9" ht="16.2" x14ac:dyDescent="0.3">
      <c r="A79" s="52"/>
      <c r="B79" s="65" t="str">
        <f ca="1">IF(AND('Danh sach'!$C79&lt;&gt;"",'Danh sach'!$O79=""),IF('Danh sach'!$N79&gt;=TODAY(),'Danh sach'!D79,""),"")</f>
        <v/>
      </c>
      <c r="C79" s="66"/>
      <c r="D79" s="67"/>
      <c r="E79" s="42" t="str">
        <f ca="1">IF(AND('Danh sach'!$C79&lt;&gt;"",'Danh sach'!$O79=""),IF('Danh sach'!$N79&gt;=TODAY(),'Danh sach'!E79,""),"")</f>
        <v/>
      </c>
      <c r="F79" s="68" t="str">
        <f t="shared" ca="1" si="1"/>
        <v/>
      </c>
      <c r="G79" s="69"/>
      <c r="H79" s="70"/>
      <c r="I79" s="53"/>
    </row>
    <row r="80" spans="1:9" ht="16.2" x14ac:dyDescent="0.3">
      <c r="A80" s="52"/>
      <c r="B80" s="65" t="str">
        <f ca="1">IF(AND('Danh sach'!$C80&lt;&gt;"",'Danh sach'!$O80=""),IF('Danh sach'!$N80&gt;=TODAY(),'Danh sach'!D80,""),"")</f>
        <v/>
      </c>
      <c r="C80" s="66"/>
      <c r="D80" s="67"/>
      <c r="E80" s="42" t="str">
        <f ca="1">IF(AND('Danh sach'!$C80&lt;&gt;"",'Danh sach'!$O80=""),IF('Danh sach'!$N80&gt;=TODAY(),'Danh sach'!E80,""),"")</f>
        <v/>
      </c>
      <c r="F80" s="68" t="str">
        <f t="shared" ca="1" si="1"/>
        <v/>
      </c>
      <c r="G80" s="69"/>
      <c r="H80" s="70"/>
      <c r="I80" s="53"/>
    </row>
    <row r="81" spans="1:9" ht="16.2" x14ac:dyDescent="0.3">
      <c r="A81" s="52"/>
      <c r="B81" s="65" t="str">
        <f ca="1">IF(AND('Danh sach'!$C81&lt;&gt;"",'Danh sach'!$O81=""),IF('Danh sach'!$N81&gt;=TODAY(),'Danh sach'!D81,""),"")</f>
        <v/>
      </c>
      <c r="C81" s="66"/>
      <c r="D81" s="67"/>
      <c r="E81" s="42" t="str">
        <f ca="1">IF(AND('Danh sach'!$C81&lt;&gt;"",'Danh sach'!$O81=""),IF('Danh sach'!$N81&gt;=TODAY(),'Danh sach'!E81,""),"")</f>
        <v/>
      </c>
      <c r="F81" s="68" t="str">
        <f t="shared" ca="1" si="1"/>
        <v/>
      </c>
      <c r="G81" s="69"/>
      <c r="H81" s="70"/>
      <c r="I81" s="53"/>
    </row>
    <row r="82" spans="1:9" ht="16.2" x14ac:dyDescent="0.3">
      <c r="A82" s="52"/>
      <c r="B82" s="65" t="str">
        <f ca="1">IF(AND('Danh sach'!$C82&lt;&gt;"",'Danh sach'!$O82=""),IF('Danh sach'!$N82&gt;=TODAY(),'Danh sach'!D82,""),"")</f>
        <v/>
      </c>
      <c r="C82" s="66"/>
      <c r="D82" s="67"/>
      <c r="E82" s="42" t="str">
        <f ca="1">IF(AND('Danh sach'!$C82&lt;&gt;"",'Danh sach'!$O82=""),IF('Danh sach'!$N82&gt;=TODAY(),'Danh sach'!E82,""),"")</f>
        <v/>
      </c>
      <c r="F82" s="68" t="str">
        <f t="shared" ca="1" si="1"/>
        <v/>
      </c>
      <c r="G82" s="69"/>
      <c r="H82" s="70"/>
      <c r="I82" s="53"/>
    </row>
    <row r="83" spans="1:9" ht="16.2" x14ac:dyDescent="0.3">
      <c r="A83" s="52"/>
      <c r="B83" s="65" t="str">
        <f ca="1">IF(AND('Danh sach'!$C83&lt;&gt;"",'Danh sach'!$O83=""),IF('Danh sach'!$N83&gt;=TODAY(),'Danh sach'!D83,""),"")</f>
        <v/>
      </c>
      <c r="C83" s="66"/>
      <c r="D83" s="67"/>
      <c r="E83" s="42" t="str">
        <f ca="1">IF(AND('Danh sach'!$C83&lt;&gt;"",'Danh sach'!$O83=""),IF('Danh sach'!$N83&gt;=TODAY(),'Danh sach'!E83,""),"")</f>
        <v/>
      </c>
      <c r="F83" s="68" t="str">
        <f t="shared" ca="1" si="1"/>
        <v/>
      </c>
      <c r="G83" s="69"/>
      <c r="H83" s="70"/>
      <c r="I83" s="53"/>
    </row>
    <row r="84" spans="1:9" ht="16.2" x14ac:dyDescent="0.3">
      <c r="A84" s="52"/>
      <c r="B84" s="65" t="str">
        <f ca="1">IF(AND('Danh sach'!$C84&lt;&gt;"",'Danh sach'!$O84=""),IF('Danh sach'!$N84&gt;=TODAY(),'Danh sach'!D84,""),"")</f>
        <v/>
      </c>
      <c r="C84" s="66"/>
      <c r="D84" s="67"/>
      <c r="E84" s="42" t="str">
        <f ca="1">IF(AND('Danh sach'!$C84&lt;&gt;"",'Danh sach'!$O84=""),IF('Danh sach'!$N84&gt;=TODAY(),'Danh sach'!E84,""),"")</f>
        <v/>
      </c>
      <c r="F84" s="68" t="str">
        <f t="shared" ca="1" si="1"/>
        <v/>
      </c>
      <c r="G84" s="69"/>
      <c r="H84" s="70"/>
      <c r="I84" s="53"/>
    </row>
    <row r="85" spans="1:9" ht="16.2" x14ac:dyDescent="0.3">
      <c r="A85" s="52"/>
      <c r="B85" s="65" t="str">
        <f ca="1">IF(AND('Danh sach'!$C85&lt;&gt;"",'Danh sach'!$O85=""),IF('Danh sach'!$N85&gt;=TODAY(),'Danh sach'!D85,""),"")</f>
        <v/>
      </c>
      <c r="C85" s="66"/>
      <c r="D85" s="67"/>
      <c r="E85" s="42" t="str">
        <f ca="1">IF(AND('Danh sach'!$C85&lt;&gt;"",'Danh sach'!$O85=""),IF('Danh sach'!$N85&gt;=TODAY(),'Danh sach'!E85,""),"")</f>
        <v/>
      </c>
      <c r="F85" s="68" t="str">
        <f t="shared" ca="1" si="1"/>
        <v/>
      </c>
      <c r="G85" s="69"/>
      <c r="H85" s="70"/>
      <c r="I85" s="53"/>
    </row>
    <row r="86" spans="1:9" ht="16.2" x14ac:dyDescent="0.3">
      <c r="A86" s="52"/>
      <c r="B86" s="65" t="str">
        <f ca="1">IF(AND('Danh sach'!$C86&lt;&gt;"",'Danh sach'!$O86=""),IF('Danh sach'!$N86&gt;=TODAY(),'Danh sach'!D86,""),"")</f>
        <v/>
      </c>
      <c r="C86" s="66"/>
      <c r="D86" s="67"/>
      <c r="E86" s="42" t="str">
        <f ca="1">IF(AND('Danh sach'!$C86&lt;&gt;"",'Danh sach'!$O86=""),IF('Danh sach'!$N86&gt;=TODAY(),'Danh sach'!E86,""),"")</f>
        <v/>
      </c>
      <c r="F86" s="68" t="str">
        <f t="shared" ca="1" si="1"/>
        <v/>
      </c>
      <c r="G86" s="69"/>
      <c r="H86" s="70"/>
      <c r="I86" s="53"/>
    </row>
    <row r="87" spans="1:9" ht="16.2" x14ac:dyDescent="0.3">
      <c r="A87" s="52"/>
      <c r="B87" s="65" t="str">
        <f ca="1">IF(AND('Danh sach'!$C87&lt;&gt;"",'Danh sach'!$O87=""),IF('Danh sach'!$N87&gt;=TODAY(),'Danh sach'!D87,""),"")</f>
        <v/>
      </c>
      <c r="C87" s="66"/>
      <c r="D87" s="67"/>
      <c r="E87" s="42" t="str">
        <f ca="1">IF(AND('Danh sach'!$C87&lt;&gt;"",'Danh sach'!$O87=""),IF('Danh sach'!$N87&gt;=TODAY(),'Danh sach'!E87,""),"")</f>
        <v/>
      </c>
      <c r="F87" s="68" t="str">
        <f t="shared" ca="1" si="1"/>
        <v/>
      </c>
      <c r="G87" s="69"/>
      <c r="H87" s="70"/>
      <c r="I87" s="53"/>
    </row>
    <row r="88" spans="1:9" ht="16.2" x14ac:dyDescent="0.3">
      <c r="A88" s="52"/>
      <c r="B88" s="65" t="str">
        <f ca="1">IF(AND('Danh sach'!$C88&lt;&gt;"",'Danh sach'!$O88=""),IF('Danh sach'!$N88&gt;=TODAY(),'Danh sach'!D88,""),"")</f>
        <v/>
      </c>
      <c r="C88" s="66"/>
      <c r="D88" s="67"/>
      <c r="E88" s="42" t="str">
        <f ca="1">IF(AND('Danh sach'!$C88&lt;&gt;"",'Danh sach'!$O88=""),IF('Danh sach'!$N88&gt;=TODAY(),'Danh sach'!E88,""),"")</f>
        <v/>
      </c>
      <c r="F88" s="68" t="str">
        <f t="shared" ca="1" si="1"/>
        <v/>
      </c>
      <c r="G88" s="69"/>
      <c r="H88" s="70"/>
      <c r="I88" s="53"/>
    </row>
    <row r="89" spans="1:9" ht="16.2" x14ac:dyDescent="0.3">
      <c r="A89" s="52"/>
      <c r="B89" s="65" t="str">
        <f ca="1">IF(AND('Danh sach'!$C89&lt;&gt;"",'Danh sach'!$O89=""),IF('Danh sach'!$N89&gt;=TODAY(),'Danh sach'!D89,""),"")</f>
        <v/>
      </c>
      <c r="C89" s="66"/>
      <c r="D89" s="67"/>
      <c r="E89" s="42" t="str">
        <f ca="1">IF(AND('Danh sach'!$C89&lt;&gt;"",'Danh sach'!$O89=""),IF('Danh sach'!$N89&gt;=TODAY(),'Danh sach'!E89,""),"")</f>
        <v/>
      </c>
      <c r="F89" s="68" t="str">
        <f t="shared" ca="1" si="1"/>
        <v/>
      </c>
      <c r="G89" s="69"/>
      <c r="H89" s="70"/>
      <c r="I89" s="53"/>
    </row>
    <row r="90" spans="1:9" ht="16.2" x14ac:dyDescent="0.3">
      <c r="A90" s="52"/>
      <c r="B90" s="65" t="str">
        <f ca="1">IF(AND('Danh sach'!$C90&lt;&gt;"",'Danh sach'!$O90=""),IF('Danh sach'!$N90&gt;=TODAY(),'Danh sach'!D90,""),"")</f>
        <v/>
      </c>
      <c r="C90" s="66"/>
      <c r="D90" s="67"/>
      <c r="E90" s="42" t="str">
        <f ca="1">IF(AND('Danh sach'!$C90&lt;&gt;"",'Danh sach'!$O90=""),IF('Danh sach'!$N90&gt;=TODAY(),'Danh sach'!E90,""),"")</f>
        <v/>
      </c>
      <c r="F90" s="68" t="str">
        <f t="shared" ca="1" si="1"/>
        <v/>
      </c>
      <c r="G90" s="69"/>
      <c r="H90" s="70"/>
      <c r="I90" s="53"/>
    </row>
    <row r="91" spans="1:9" x14ac:dyDescent="0.3">
      <c r="A91" s="52"/>
      <c r="D91" s="56"/>
      <c r="E91" s="32" t="str">
        <f ca="1">+"Ngày kiểm tra/ Checking date:  "&amp;DAY(TODAY())&amp;"/"&amp;MONTH(TODAY())&amp;"/"&amp;YEAR(TODAY())</f>
        <v>Ngày kiểm tra/ Checking date:  21/9/2024</v>
      </c>
      <c r="I91" s="53"/>
    </row>
    <row r="92" spans="1:9" x14ac:dyDescent="0.3">
      <c r="A92" s="52"/>
      <c r="I92" s="53"/>
    </row>
    <row r="93" spans="1:9" x14ac:dyDescent="0.3">
      <c r="A93" s="52"/>
      <c r="B93" s="135" t="s">
        <v>19</v>
      </c>
      <c r="C93" s="135"/>
      <c r="D93" s="135"/>
      <c r="F93" s="135" t="s">
        <v>21</v>
      </c>
      <c r="G93" s="135"/>
      <c r="H93" s="135"/>
      <c r="I93" s="53"/>
    </row>
    <row r="94" spans="1:9" x14ac:dyDescent="0.3">
      <c r="A94" s="52"/>
      <c r="B94" s="136" t="s">
        <v>20</v>
      </c>
      <c r="C94" s="136"/>
      <c r="D94" s="136"/>
      <c r="F94" s="136" t="s">
        <v>22</v>
      </c>
      <c r="G94" s="136"/>
      <c r="H94" s="136"/>
      <c r="I94" s="53"/>
    </row>
    <row r="95" spans="1:9" x14ac:dyDescent="0.3">
      <c r="A95" s="52"/>
      <c r="B95" s="56"/>
      <c r="C95" s="56"/>
      <c r="D95" s="56"/>
      <c r="I95" s="53"/>
    </row>
    <row r="96" spans="1:9" x14ac:dyDescent="0.3">
      <c r="A96" s="52"/>
      <c r="B96" s="56"/>
      <c r="C96" s="56"/>
      <c r="D96" s="56"/>
      <c r="I96" s="53"/>
    </row>
    <row r="97" spans="1:9" x14ac:dyDescent="0.3">
      <c r="A97" s="52"/>
      <c r="B97" s="56"/>
      <c r="C97" s="56"/>
      <c r="D97" s="56"/>
      <c r="I97" s="53"/>
    </row>
    <row r="98" spans="1:9" ht="15" customHeight="1" x14ac:dyDescent="0.3">
      <c r="A98" s="52"/>
      <c r="B98" s="134" t="s">
        <v>23</v>
      </c>
      <c r="C98" s="134"/>
      <c r="D98" s="134"/>
      <c r="F98" s="134" t="s">
        <v>24</v>
      </c>
      <c r="G98" s="134"/>
      <c r="H98" s="134"/>
      <c r="I98" s="53"/>
    </row>
    <row r="99" spans="1:9" ht="15" thickBot="1" x14ac:dyDescent="0.35">
      <c r="A99" s="57"/>
      <c r="B99" s="28"/>
      <c r="C99" s="28"/>
      <c r="D99" s="28"/>
      <c r="E99" s="58"/>
      <c r="F99" s="59"/>
      <c r="G99" s="28"/>
      <c r="H99" s="59"/>
      <c r="I99" s="60"/>
    </row>
  </sheetData>
  <autoFilter ref="B10:K89" xr:uid="{00000000-0009-0000-0000-000001000000}">
    <filterColumn colId="0" showButton="0"/>
    <filterColumn colId="1" showButton="0"/>
    <filterColumn colId="4" showButton="0"/>
    <filterColumn colId="5" showButton="0"/>
  </autoFilter>
  <customSheetViews>
    <customSheetView guid="{98B02240-083D-48FB-929B-AEE0DA92ED1F}" showGridLines="0" fitToPage="1" showAutoFilter="1">
      <selection activeCell="D15" sqref="D15"/>
      <pageMargins left="0.2" right="0.2" top="0.25" bottom="0.25" header="0.3" footer="0.3"/>
      <printOptions horizontalCentered="1" verticalCentered="1"/>
      <pageSetup paperSize="11" scale="24" orientation="landscape" r:id="rId1"/>
      <autoFilter ref="B10:K90" xr:uid="{487D741D-C6AE-4415-A8C5-654E851F738A}">
        <filterColumn colId="0" showButton="0"/>
        <filterColumn colId="1" showButton="0"/>
        <filterColumn colId="4" showButton="0"/>
        <filterColumn colId="5" showButton="0"/>
      </autoFilter>
    </customSheetView>
  </customSheetViews>
  <mergeCells count="12">
    <mergeCell ref="B98:D98"/>
    <mergeCell ref="F98:H98"/>
    <mergeCell ref="B93:D93"/>
    <mergeCell ref="F93:H93"/>
    <mergeCell ref="B94:D94"/>
    <mergeCell ref="F94:H94"/>
    <mergeCell ref="A5:I5"/>
    <mergeCell ref="A6:I6"/>
    <mergeCell ref="B9:D9"/>
    <mergeCell ref="F9:H9"/>
    <mergeCell ref="B10:D10"/>
    <mergeCell ref="F10:H10"/>
  </mergeCells>
  <conditionalFormatting sqref="E11:E90">
    <cfRule type="duplicateValues" dxfId="9" priority="49"/>
  </conditionalFormatting>
  <printOptions horizontalCentered="1" verticalCentered="1"/>
  <pageMargins left="0.2" right="0.2" top="0.25" bottom="0.25" header="0.3" footer="0.3"/>
  <pageSetup paperSize="11" scale="21"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27A6E-A80B-4EDE-A39A-CBD07FD1BA25}">
  <sheetPr codeName="Sheet22" filterMode="1">
    <pageSetUpPr fitToPage="1"/>
  </sheetPr>
  <dimension ref="B1:K42"/>
  <sheetViews>
    <sheetView view="pageBreakPreview" zoomScale="70" zoomScaleNormal="100" zoomScaleSheetLayoutView="70" workbookViewId="0">
      <selection activeCell="B2" sqref="B2:B3"/>
    </sheetView>
  </sheetViews>
  <sheetFormatPr defaultColWidth="9" defaultRowHeight="13.8" x14ac:dyDescent="0.25"/>
  <cols>
    <col min="1" max="1" width="1.109375" style="73" customWidth="1"/>
    <col min="2" max="2" width="3.33203125" style="73" customWidth="1"/>
    <col min="3" max="3" width="24.6640625" style="73" customWidth="1"/>
    <col min="4" max="4" width="30.6640625" style="73" customWidth="1"/>
    <col min="5" max="5" width="30.5546875" style="73" customWidth="1"/>
    <col min="6" max="6" width="29.33203125" style="73" customWidth="1"/>
    <col min="7" max="7" width="18.33203125" style="73" customWidth="1"/>
    <col min="8" max="8" width="23.5546875" style="73" customWidth="1"/>
    <col min="9" max="9" width="3" style="73" customWidth="1"/>
    <col min="10" max="10" width="13.44140625" style="73" bestFit="1" customWidth="1"/>
    <col min="11" max="16384" width="9" style="73"/>
  </cols>
  <sheetData>
    <row r="1" spans="2:11" ht="14.4" thickBot="1" x14ac:dyDescent="0.3"/>
    <row r="2" spans="2:11" ht="15.6" x14ac:dyDescent="0.3">
      <c r="B2" s="48" t="s">
        <v>1173</v>
      </c>
      <c r="C2" s="76"/>
      <c r="D2" s="76"/>
      <c r="E2" s="76"/>
      <c r="F2" s="76"/>
      <c r="G2" s="76"/>
      <c r="H2" s="77" t="s">
        <v>228</v>
      </c>
      <c r="I2" s="78"/>
    </row>
    <row r="3" spans="2:11" ht="16.2" x14ac:dyDescent="0.25">
      <c r="B3" s="50" t="s">
        <v>1174</v>
      </c>
      <c r="H3" s="79" t="s">
        <v>10</v>
      </c>
      <c r="I3" s="80"/>
    </row>
    <row r="4" spans="2:11" ht="17.399999999999999" x14ac:dyDescent="0.3">
      <c r="B4" s="137" t="s">
        <v>11</v>
      </c>
      <c r="C4" s="138"/>
      <c r="D4" s="138"/>
      <c r="E4" s="138"/>
      <c r="F4" s="138"/>
      <c r="G4" s="138"/>
      <c r="H4" s="138"/>
      <c r="I4" s="139"/>
    </row>
    <row r="5" spans="2:11" ht="16.2" x14ac:dyDescent="0.25">
      <c r="B5" s="127" t="s">
        <v>12</v>
      </c>
      <c r="C5" s="120"/>
      <c r="D5" s="120"/>
      <c r="E5" s="120"/>
      <c r="F5" s="120"/>
      <c r="G5" s="120"/>
      <c r="H5" s="120"/>
      <c r="I5" s="121"/>
    </row>
    <row r="6" spans="2:11" ht="16.2" x14ac:dyDescent="0.35">
      <c r="B6" s="81"/>
      <c r="C6" s="82"/>
      <c r="D6" s="82"/>
      <c r="E6" s="82"/>
      <c r="F6" s="82"/>
      <c r="G6" s="82" t="s">
        <v>229</v>
      </c>
      <c r="H6" s="83" t="str">
        <f>+RIGHT('Danh sach'!F91,7)</f>
        <v>09/2024</v>
      </c>
      <c r="I6" s="84"/>
      <c r="K6" s="83"/>
    </row>
    <row r="7" spans="2:11" ht="16.2" x14ac:dyDescent="0.35">
      <c r="B7" s="81"/>
      <c r="C7" s="82"/>
      <c r="D7" s="82"/>
      <c r="E7" s="82"/>
      <c r="F7" s="82"/>
      <c r="G7" s="82"/>
      <c r="H7" s="82"/>
      <c r="I7" s="84"/>
    </row>
    <row r="8" spans="2:11" s="6" customFormat="1" ht="77.25" customHeight="1" x14ac:dyDescent="0.3">
      <c r="B8" s="72"/>
      <c r="C8" s="85" t="s">
        <v>230</v>
      </c>
      <c r="D8" s="85" t="s">
        <v>231</v>
      </c>
      <c r="E8" s="85" t="s">
        <v>232</v>
      </c>
      <c r="F8" s="85" t="s">
        <v>233</v>
      </c>
      <c r="G8" s="146" t="s">
        <v>234</v>
      </c>
      <c r="H8" s="147"/>
      <c r="I8" s="86"/>
    </row>
    <row r="9" spans="2:11" ht="146.25" customHeight="1" x14ac:dyDescent="0.35">
      <c r="B9" s="81"/>
      <c r="C9" s="93" t="str">
        <f>+TEXT(IF(MONTH($H$6)=MONTH(DATE(RIGHT($H$6,4),LEFT($H$6,2),ROW()-8)),DATE(RIGHT($H$6,4),LEFT($H$6,2),ROW()-8),""),"ddd" &amp;CHAR(10)&amp; "mmm dd,yyyy")</f>
        <v>Sun
Sep 01,2024</v>
      </c>
      <c r="D9" s="97" t="s">
        <v>337</v>
      </c>
      <c r="E9" s="88"/>
      <c r="F9" s="89"/>
      <c r="G9" s="148"/>
      <c r="H9" s="149"/>
      <c r="I9" s="90"/>
      <c r="J9" s="87">
        <f>IF(AND(WEEKDAY(DATE(2023,LEFT($H$6,2),ROW()-8))&lt;&gt;1,WEEKDAY(DATE(2023,LEFT($H$6,2),ROW()-8))&lt;&gt;7),IF(MONTH($H$6)=MONTH(DATE(2023,LEFT($H$6,2),ROW()-8)),DATE(2023,LEFT($H$6,2),ROW()-8),""),"")</f>
        <v>45170</v>
      </c>
    </row>
    <row r="10" spans="2:11" ht="146.25" customHeight="1" x14ac:dyDescent="0.35">
      <c r="B10" s="81"/>
      <c r="C10" s="93" t="str">
        <f t="shared" ref="C10:C39" si="0">+TEXT(IF(MONTH($H$6)=MONTH(DATE(RIGHT($H$6,4),LEFT($H$6,2),ROW()-8)),DATE(RIGHT($H$6,4),LEFT($H$6,2),ROW()-8),""),"ddd" &amp;CHAR(10)&amp; "mmm dd,yyyy")</f>
        <v>Mon
Sep 02,2024</v>
      </c>
      <c r="D10" s="97" t="s">
        <v>43</v>
      </c>
      <c r="E10" s="88"/>
      <c r="F10" s="89"/>
      <c r="G10" s="148"/>
      <c r="H10" s="149"/>
      <c r="I10" s="90"/>
      <c r="J10" s="87"/>
    </row>
    <row r="11" spans="2:11" ht="146.25" customHeight="1" x14ac:dyDescent="0.35">
      <c r="B11" s="81"/>
      <c r="C11" s="93" t="str">
        <f t="shared" si="0"/>
        <v>Tue
Sep 03,2024</v>
      </c>
      <c r="D11" s="97" t="s">
        <v>43</v>
      </c>
      <c r="E11" s="88"/>
      <c r="F11" s="89"/>
      <c r="G11" s="148"/>
      <c r="H11" s="149"/>
      <c r="I11" s="90"/>
      <c r="J11" s="87"/>
    </row>
    <row r="12" spans="2:11" ht="146.25" customHeight="1" x14ac:dyDescent="0.35">
      <c r="B12" s="81"/>
      <c r="C12" s="93" t="str">
        <f t="shared" si="0"/>
        <v>Wed
Sep 04,2024</v>
      </c>
      <c r="D12" s="97" t="s">
        <v>43</v>
      </c>
      <c r="E12" s="88"/>
      <c r="F12" s="89"/>
      <c r="G12" s="148"/>
      <c r="H12" s="149"/>
      <c r="I12" s="90"/>
      <c r="J12" s="87"/>
    </row>
    <row r="13" spans="2:11" ht="146.25" customHeight="1" x14ac:dyDescent="0.35">
      <c r="B13" s="81"/>
      <c r="C13" s="93" t="str">
        <f t="shared" si="0"/>
        <v>Thu
Sep 05,2024</v>
      </c>
      <c r="D13" s="97" t="s">
        <v>43</v>
      </c>
      <c r="E13" s="88"/>
      <c r="F13" s="89"/>
      <c r="G13" s="148"/>
      <c r="H13" s="149"/>
      <c r="I13" s="90"/>
      <c r="J13" s="87"/>
    </row>
    <row r="14" spans="2:11" ht="146.25" customHeight="1" x14ac:dyDescent="0.35">
      <c r="B14" s="81"/>
      <c r="C14" s="93" t="str">
        <f t="shared" si="0"/>
        <v>Fri
Sep 06,2024</v>
      </c>
      <c r="D14" s="97" t="s">
        <v>43</v>
      </c>
      <c r="E14" s="88"/>
      <c r="F14" s="89"/>
      <c r="G14" s="148"/>
      <c r="H14" s="149"/>
      <c r="I14" s="90"/>
      <c r="J14" s="87"/>
    </row>
    <row r="15" spans="2:11" ht="146.25" customHeight="1" x14ac:dyDescent="0.35">
      <c r="B15" s="81"/>
      <c r="C15" s="93" t="str">
        <f t="shared" si="0"/>
        <v>Sat
Sep 07,2024</v>
      </c>
      <c r="D15" s="97" t="s">
        <v>43</v>
      </c>
      <c r="E15" s="88"/>
      <c r="F15" s="89"/>
      <c r="G15" s="148"/>
      <c r="H15" s="149"/>
      <c r="I15" s="90"/>
      <c r="J15" s="87"/>
    </row>
    <row r="16" spans="2:11" ht="146.25" customHeight="1" x14ac:dyDescent="0.35">
      <c r="B16" s="81"/>
      <c r="C16" s="93" t="str">
        <f t="shared" si="0"/>
        <v>Sun
Sep 08,2024</v>
      </c>
      <c r="D16" s="97" t="s">
        <v>43</v>
      </c>
      <c r="E16" s="88"/>
      <c r="F16" s="89"/>
      <c r="G16" s="148"/>
      <c r="H16" s="149"/>
      <c r="I16" s="90"/>
      <c r="J16" s="87"/>
    </row>
    <row r="17" spans="2:10" ht="146.25" customHeight="1" x14ac:dyDescent="0.35">
      <c r="B17" s="81"/>
      <c r="C17" s="93" t="str">
        <f t="shared" si="0"/>
        <v>Mon
Sep 09,2024</v>
      </c>
      <c r="D17" s="97" t="s">
        <v>43</v>
      </c>
      <c r="E17" s="88"/>
      <c r="F17" s="89"/>
      <c r="G17" s="148"/>
      <c r="H17" s="149"/>
      <c r="I17" s="90"/>
      <c r="J17" s="87"/>
    </row>
    <row r="18" spans="2:10" ht="146.25" customHeight="1" x14ac:dyDescent="0.35">
      <c r="B18" s="81"/>
      <c r="C18" s="93" t="str">
        <f t="shared" si="0"/>
        <v>Tue
Sep 10,2024</v>
      </c>
      <c r="D18" s="97" t="s">
        <v>43</v>
      </c>
      <c r="E18" s="88"/>
      <c r="F18" s="89"/>
      <c r="G18" s="148"/>
      <c r="H18" s="149"/>
      <c r="I18" s="90"/>
      <c r="J18" s="87"/>
    </row>
    <row r="19" spans="2:10" ht="146.25" customHeight="1" x14ac:dyDescent="0.35">
      <c r="B19" s="81"/>
      <c r="C19" s="93" t="str">
        <f t="shared" si="0"/>
        <v>Wed
Sep 11,2024</v>
      </c>
      <c r="D19" s="97" t="s">
        <v>43</v>
      </c>
      <c r="E19" s="88"/>
      <c r="F19" s="89"/>
      <c r="G19" s="148"/>
      <c r="H19" s="149"/>
      <c r="I19" s="90"/>
      <c r="J19" s="87"/>
    </row>
    <row r="20" spans="2:10" ht="146.25" customHeight="1" x14ac:dyDescent="0.35">
      <c r="B20" s="81"/>
      <c r="C20" s="93" t="str">
        <f t="shared" si="0"/>
        <v>Thu
Sep 12,2024</v>
      </c>
      <c r="D20" s="97" t="s">
        <v>43</v>
      </c>
      <c r="E20" s="88"/>
      <c r="F20" s="89"/>
      <c r="G20" s="148"/>
      <c r="H20" s="149"/>
      <c r="I20" s="90"/>
      <c r="J20" s="87"/>
    </row>
    <row r="21" spans="2:10" ht="146.25" customHeight="1" x14ac:dyDescent="0.35">
      <c r="B21" s="81"/>
      <c r="C21" s="93" t="str">
        <f t="shared" si="0"/>
        <v>Fri
Sep 13,2024</v>
      </c>
      <c r="D21" s="97" t="s">
        <v>43</v>
      </c>
      <c r="E21" s="88"/>
      <c r="F21" s="89"/>
      <c r="G21" s="148"/>
      <c r="H21" s="149"/>
      <c r="I21" s="90"/>
      <c r="J21" s="87"/>
    </row>
    <row r="22" spans="2:10" ht="146.25" customHeight="1" x14ac:dyDescent="0.35">
      <c r="B22" s="81"/>
      <c r="C22" s="93" t="str">
        <f t="shared" si="0"/>
        <v>Sat
Sep 14,2024</v>
      </c>
      <c r="D22" s="97" t="s">
        <v>43</v>
      </c>
      <c r="E22" s="88"/>
      <c r="F22" s="89"/>
      <c r="G22" s="148"/>
      <c r="H22" s="149"/>
      <c r="I22" s="90"/>
      <c r="J22" s="87"/>
    </row>
    <row r="23" spans="2:10" ht="146.25" customHeight="1" x14ac:dyDescent="0.35">
      <c r="B23" s="81"/>
      <c r="C23" s="93" t="str">
        <f t="shared" si="0"/>
        <v>Sun
Sep 15,2024</v>
      </c>
      <c r="D23" s="97" t="s">
        <v>43</v>
      </c>
      <c r="E23" s="88"/>
      <c r="F23" s="89"/>
      <c r="G23" s="148"/>
      <c r="H23" s="149"/>
      <c r="I23" s="90"/>
      <c r="J23" s="87"/>
    </row>
    <row r="24" spans="2:10" ht="146.25" customHeight="1" x14ac:dyDescent="0.35">
      <c r="B24" s="81"/>
      <c r="C24" s="93" t="str">
        <f t="shared" si="0"/>
        <v>Mon
Sep 16,2024</v>
      </c>
      <c r="D24" s="97" t="s">
        <v>43</v>
      </c>
      <c r="E24" s="88"/>
      <c r="F24" s="89"/>
      <c r="G24" s="148"/>
      <c r="H24" s="149"/>
      <c r="I24" s="90"/>
      <c r="J24" s="87"/>
    </row>
    <row r="25" spans="2:10" ht="146.25" customHeight="1" x14ac:dyDescent="0.35">
      <c r="B25" s="81"/>
      <c r="C25" s="93" t="str">
        <f t="shared" si="0"/>
        <v>Tue
Sep 17,2024</v>
      </c>
      <c r="D25" s="97" t="s">
        <v>43</v>
      </c>
      <c r="E25" s="88"/>
      <c r="F25" s="89"/>
      <c r="G25" s="148"/>
      <c r="H25" s="149"/>
      <c r="I25" s="90"/>
      <c r="J25" s="87"/>
    </row>
    <row r="26" spans="2:10" ht="146.25" customHeight="1" x14ac:dyDescent="0.35">
      <c r="B26" s="81"/>
      <c r="C26" s="93" t="str">
        <f t="shared" si="0"/>
        <v>Wed
Sep 18,2024</v>
      </c>
      <c r="D26" s="97" t="s">
        <v>43</v>
      </c>
      <c r="E26" s="88"/>
      <c r="F26" s="89"/>
      <c r="G26" s="148"/>
      <c r="H26" s="149"/>
      <c r="I26" s="90"/>
      <c r="J26" s="87"/>
    </row>
    <row r="27" spans="2:10" ht="146.25" customHeight="1" x14ac:dyDescent="0.35">
      <c r="B27" s="81"/>
      <c r="C27" s="93" t="str">
        <f t="shared" si="0"/>
        <v>Thu
Sep 19,2024</v>
      </c>
      <c r="D27" s="97" t="s">
        <v>43</v>
      </c>
      <c r="E27" s="88"/>
      <c r="F27" s="89"/>
      <c r="G27" s="148"/>
      <c r="H27" s="149"/>
      <c r="I27" s="90"/>
      <c r="J27" s="87"/>
    </row>
    <row r="28" spans="2:10" ht="146.25" customHeight="1" x14ac:dyDescent="0.35">
      <c r="B28" s="81"/>
      <c r="C28" s="93" t="str">
        <f t="shared" si="0"/>
        <v>Fri
Sep 20,2024</v>
      </c>
      <c r="D28" s="97" t="s">
        <v>43</v>
      </c>
      <c r="E28" s="88"/>
      <c r="F28" s="89"/>
      <c r="G28" s="148"/>
      <c r="H28" s="149"/>
      <c r="I28" s="90"/>
      <c r="J28" s="87"/>
    </row>
    <row r="29" spans="2:10" ht="146.25" customHeight="1" x14ac:dyDescent="0.35">
      <c r="B29" s="81"/>
      <c r="C29" s="93" t="str">
        <f t="shared" si="0"/>
        <v>Sat
Sep 21,2024</v>
      </c>
      <c r="D29" s="97" t="s">
        <v>43</v>
      </c>
      <c r="E29" s="88"/>
      <c r="F29" s="89"/>
      <c r="G29" s="148"/>
      <c r="H29" s="149"/>
      <c r="I29" s="90"/>
      <c r="J29" s="87"/>
    </row>
    <row r="30" spans="2:10" ht="146.25" customHeight="1" x14ac:dyDescent="0.35">
      <c r="B30" s="81"/>
      <c r="C30" s="93" t="str">
        <f t="shared" si="0"/>
        <v>Sun
Sep 22,2024</v>
      </c>
      <c r="D30" s="97" t="s">
        <v>43</v>
      </c>
      <c r="E30" s="88"/>
      <c r="F30" s="89"/>
      <c r="G30" s="148"/>
      <c r="H30" s="149"/>
      <c r="I30" s="90"/>
      <c r="J30" s="87"/>
    </row>
    <row r="31" spans="2:10" ht="146.25" customHeight="1" x14ac:dyDescent="0.35">
      <c r="B31" s="81"/>
      <c r="C31" s="93" t="str">
        <f t="shared" si="0"/>
        <v>Mon
Sep 23,2024</v>
      </c>
      <c r="D31" s="97" t="s">
        <v>43</v>
      </c>
      <c r="E31" s="88"/>
      <c r="F31" s="89"/>
      <c r="G31" s="148"/>
      <c r="H31" s="149"/>
      <c r="I31" s="90"/>
      <c r="J31" s="87"/>
    </row>
    <row r="32" spans="2:10" ht="146.25" customHeight="1" x14ac:dyDescent="0.35">
      <c r="B32" s="81"/>
      <c r="C32" s="93" t="str">
        <f t="shared" si="0"/>
        <v>Tue
Sep 24,2024</v>
      </c>
      <c r="D32" s="97" t="s">
        <v>43</v>
      </c>
      <c r="E32" s="88"/>
      <c r="F32" s="89"/>
      <c r="G32" s="148"/>
      <c r="H32" s="149"/>
      <c r="I32" s="90"/>
      <c r="J32" s="87"/>
    </row>
    <row r="33" spans="2:10" ht="146.25" customHeight="1" x14ac:dyDescent="0.35">
      <c r="B33" s="81"/>
      <c r="C33" s="93" t="str">
        <f t="shared" si="0"/>
        <v>Wed
Sep 25,2024</v>
      </c>
      <c r="D33" s="97" t="s">
        <v>43</v>
      </c>
      <c r="E33" s="88"/>
      <c r="F33" s="89"/>
      <c r="G33" s="148"/>
      <c r="H33" s="149"/>
      <c r="I33" s="90"/>
      <c r="J33" s="87"/>
    </row>
    <row r="34" spans="2:10" ht="146.25" customHeight="1" x14ac:dyDescent="0.35">
      <c r="B34" s="81"/>
      <c r="C34" s="93" t="str">
        <f t="shared" si="0"/>
        <v>Thu
Sep 26,2024</v>
      </c>
      <c r="D34" s="97" t="s">
        <v>43</v>
      </c>
      <c r="E34" s="88"/>
      <c r="F34" s="89"/>
      <c r="G34" s="148"/>
      <c r="H34" s="149"/>
      <c r="I34" s="90"/>
      <c r="J34" s="87"/>
    </row>
    <row r="35" spans="2:10" ht="146.25" customHeight="1" x14ac:dyDescent="0.35">
      <c r="B35" s="81"/>
      <c r="C35" s="93" t="str">
        <f t="shared" si="0"/>
        <v>Fri
Sep 27,2024</v>
      </c>
      <c r="D35" s="97" t="s">
        <v>43</v>
      </c>
      <c r="E35" s="88"/>
      <c r="F35" s="89"/>
      <c r="G35" s="148"/>
      <c r="H35" s="149"/>
      <c r="I35" s="90"/>
      <c r="J35" s="87"/>
    </row>
    <row r="36" spans="2:10" ht="146.25" customHeight="1" x14ac:dyDescent="0.35">
      <c r="B36" s="81"/>
      <c r="C36" s="93" t="str">
        <f t="shared" si="0"/>
        <v>Sat
Sep 28,2024</v>
      </c>
      <c r="D36" s="97" t="s">
        <v>43</v>
      </c>
      <c r="E36" s="88"/>
      <c r="F36" s="89"/>
      <c r="G36" s="148"/>
      <c r="H36" s="149"/>
      <c r="I36" s="90"/>
      <c r="J36" s="87"/>
    </row>
    <row r="37" spans="2:10" ht="146.25" customHeight="1" x14ac:dyDescent="0.35">
      <c r="B37" s="81"/>
      <c r="C37" s="93" t="str">
        <f t="shared" si="0"/>
        <v>Sun
Sep 29,2024</v>
      </c>
      <c r="D37" s="97" t="s">
        <v>43</v>
      </c>
      <c r="E37" s="88"/>
      <c r="F37" s="89"/>
      <c r="G37" s="148"/>
      <c r="H37" s="149"/>
      <c r="I37" s="90"/>
      <c r="J37" s="87"/>
    </row>
    <row r="38" spans="2:10" ht="146.25" customHeight="1" x14ac:dyDescent="0.35">
      <c r="B38" s="81"/>
      <c r="C38" s="93" t="str">
        <f t="shared" si="0"/>
        <v>Mon
Sep 30,2024</v>
      </c>
      <c r="D38" s="97" t="s">
        <v>43</v>
      </c>
      <c r="E38" s="88"/>
      <c r="F38" s="89"/>
      <c r="G38" s="148"/>
      <c r="H38" s="149"/>
      <c r="I38" s="90"/>
      <c r="J38" s="87"/>
    </row>
    <row r="39" spans="2:10" ht="146.25" hidden="1" customHeight="1" x14ac:dyDescent="0.35">
      <c r="B39" s="81"/>
      <c r="C39" s="93" t="str">
        <f t="shared" si="0"/>
        <v/>
      </c>
      <c r="D39" s="97"/>
      <c r="E39" s="88"/>
      <c r="F39" s="89"/>
      <c r="G39" s="148"/>
      <c r="H39" s="149"/>
      <c r="I39" s="90"/>
      <c r="J39" s="87"/>
    </row>
    <row r="40" spans="2:10" x14ac:dyDescent="0.25">
      <c r="B40" s="91"/>
      <c r="C40" s="92"/>
      <c r="D40" s="92"/>
      <c r="E40" s="92"/>
      <c r="F40" s="92"/>
      <c r="G40" s="92"/>
      <c r="H40" s="92"/>
      <c r="I40" s="90"/>
    </row>
    <row r="41" spans="2:10" x14ac:dyDescent="0.25">
      <c r="B41" s="140" t="s">
        <v>40</v>
      </c>
      <c r="C41" s="141"/>
      <c r="D41" s="141"/>
      <c r="E41" s="141"/>
      <c r="F41" s="141"/>
      <c r="G41" s="141"/>
      <c r="H41" s="141"/>
      <c r="I41" s="142"/>
    </row>
    <row r="42" spans="2:10" ht="14.4" thickBot="1" x14ac:dyDescent="0.3">
      <c r="B42" s="143" t="s">
        <v>39</v>
      </c>
      <c r="C42" s="144"/>
      <c r="D42" s="144"/>
      <c r="E42" s="144"/>
      <c r="F42" s="144"/>
      <c r="G42" s="144"/>
      <c r="H42" s="144"/>
      <c r="I42" s="145"/>
    </row>
  </sheetData>
  <autoFilter ref="C8:J39" xr:uid="{00000000-0009-0000-0000-000002000000}">
    <filterColumn colId="0">
      <customFilters>
        <customFilter operator="notEqual" val=" "/>
      </customFilters>
    </filterColumn>
  </autoFilter>
  <customSheetViews>
    <customSheetView guid="{98B02240-083D-48FB-929B-AEE0DA92ED1F}" scale="70" showPageBreaks="1" fitToPage="1" printArea="1" showAutoFilter="1" view="pageBreakPreview">
      <selection activeCell="E10" sqref="E10"/>
      <pageMargins left="0.3" right="0.3" top="0.3" bottom="0.3" header="0.3" footer="0.05"/>
      <printOptions horizontalCentered="1"/>
      <pageSetup paperSize="9" scale="59" fitToHeight="0" orientation="portrait" r:id="rId1"/>
      <headerFooter>
        <oddFooter>Page &amp;P of &amp;N</oddFooter>
      </headerFooter>
      <autoFilter ref="C8:J39" xr:uid="{08552C2E-C311-46BB-8F89-3BD5BA38DC71}"/>
    </customSheetView>
  </customSheetViews>
  <mergeCells count="36">
    <mergeCell ref="G35:H35"/>
    <mergeCell ref="G36:H36"/>
    <mergeCell ref="G37:H37"/>
    <mergeCell ref="G38:H38"/>
    <mergeCell ref="G39:H39"/>
    <mergeCell ref="G30:H30"/>
    <mergeCell ref="G31:H31"/>
    <mergeCell ref="G32:H32"/>
    <mergeCell ref="G33:H33"/>
    <mergeCell ref="G34:H34"/>
    <mergeCell ref="G25:H25"/>
    <mergeCell ref="G26:H26"/>
    <mergeCell ref="G27:H27"/>
    <mergeCell ref="G28:H28"/>
    <mergeCell ref="G29:H29"/>
    <mergeCell ref="G20:H20"/>
    <mergeCell ref="G21:H21"/>
    <mergeCell ref="G22:H22"/>
    <mergeCell ref="G23:H23"/>
    <mergeCell ref="G24:H24"/>
    <mergeCell ref="B4:I4"/>
    <mergeCell ref="B5:I5"/>
    <mergeCell ref="B41:I41"/>
    <mergeCell ref="B42:I42"/>
    <mergeCell ref="G8:H8"/>
    <mergeCell ref="G9:H9"/>
    <mergeCell ref="G10:H10"/>
    <mergeCell ref="G11:H11"/>
    <mergeCell ref="G12:H12"/>
    <mergeCell ref="G13:H13"/>
    <mergeCell ref="G14:H14"/>
    <mergeCell ref="G15:H15"/>
    <mergeCell ref="G16:H16"/>
    <mergeCell ref="G17:H17"/>
    <mergeCell ref="G18:H18"/>
    <mergeCell ref="G19:H19"/>
  </mergeCells>
  <printOptions horizontalCentered="1"/>
  <pageMargins left="0.3" right="0.3" top="0.3" bottom="0.3" header="0.3" footer="0.05"/>
  <pageSetup paperSize="9" scale="60" fitToHeight="0" orientation="portrait" r:id="rId2"/>
  <headerFooter>
    <oddFooter>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96983-9F5D-4961-9D6A-1A5335515654}">
  <sheetPr codeName="Sheet10"/>
  <dimension ref="A1:G646"/>
  <sheetViews>
    <sheetView workbookViewId="0"/>
  </sheetViews>
  <sheetFormatPr defaultColWidth="9" defaultRowHeight="13.8" x14ac:dyDescent="0.25"/>
  <cols>
    <col min="1" max="1" width="14.44140625" style="110" customWidth="1"/>
    <col min="2" max="2" width="41.109375" style="75" customWidth="1"/>
    <col min="3" max="3" width="8.6640625" style="73" bestFit="1" customWidth="1"/>
    <col min="4" max="4" width="8.5546875" style="105" bestFit="1" customWidth="1"/>
    <col min="5" max="5" width="10" style="73" bestFit="1" customWidth="1"/>
    <col min="6" max="6" width="39.109375" style="73" customWidth="1"/>
    <col min="7" max="7" width="34.109375" style="73" customWidth="1"/>
    <col min="8" max="16384" width="9" style="73"/>
  </cols>
  <sheetData>
    <row r="1" spans="1:7" ht="27.6" x14ac:dyDescent="0.25">
      <c r="A1" s="108" t="s">
        <v>13</v>
      </c>
      <c r="B1" s="101" t="s">
        <v>15</v>
      </c>
      <c r="C1" s="101" t="s">
        <v>384</v>
      </c>
      <c r="D1" s="103" t="s">
        <v>385</v>
      </c>
      <c r="F1" s="14" t="s">
        <v>169</v>
      </c>
      <c r="G1" s="14" t="s">
        <v>29</v>
      </c>
    </row>
    <row r="2" spans="1:7" x14ac:dyDescent="0.25">
      <c r="A2" s="109" t="s">
        <v>41</v>
      </c>
      <c r="B2" s="2" t="s">
        <v>42</v>
      </c>
      <c r="C2" s="104">
        <v>0</v>
      </c>
      <c r="D2" s="104" t="s">
        <v>1175</v>
      </c>
      <c r="F2" s="74" t="s">
        <v>141</v>
      </c>
      <c r="G2" s="2" t="s">
        <v>946</v>
      </c>
    </row>
    <row r="3" spans="1:7" ht="27.6" x14ac:dyDescent="0.25">
      <c r="A3" s="109">
        <v>1200021949</v>
      </c>
      <c r="B3" s="2" t="s">
        <v>44</v>
      </c>
      <c r="C3" s="104">
        <v>0</v>
      </c>
      <c r="D3" s="104">
        <v>0</v>
      </c>
      <c r="F3" s="74" t="s">
        <v>152</v>
      </c>
      <c r="G3" s="2" t="s">
        <v>52</v>
      </c>
    </row>
    <row r="4" spans="1:7" ht="27.6" x14ac:dyDescent="0.25">
      <c r="A4" s="109" t="s">
        <v>46</v>
      </c>
      <c r="B4" s="2" t="s">
        <v>45</v>
      </c>
      <c r="C4" s="104" t="s">
        <v>1182</v>
      </c>
      <c r="D4" s="104">
        <v>0</v>
      </c>
      <c r="F4" s="74" t="s">
        <v>55</v>
      </c>
      <c r="G4" s="2" t="s">
        <v>158</v>
      </c>
    </row>
    <row r="5" spans="1:7" x14ac:dyDescent="0.25">
      <c r="A5" s="109" t="s">
        <v>47</v>
      </c>
      <c r="B5" s="2" t="s">
        <v>48</v>
      </c>
      <c r="C5" s="104">
        <v>0</v>
      </c>
      <c r="D5" s="104">
        <v>0</v>
      </c>
      <c r="F5" s="74" t="s">
        <v>51</v>
      </c>
      <c r="G5" s="2" t="s">
        <v>160</v>
      </c>
    </row>
    <row r="6" spans="1:7" x14ac:dyDescent="0.25">
      <c r="A6" s="109" t="s">
        <v>49</v>
      </c>
      <c r="B6" s="2" t="s">
        <v>50</v>
      </c>
      <c r="C6" s="104">
        <v>0</v>
      </c>
      <c r="D6" s="104">
        <v>0</v>
      </c>
      <c r="F6" s="74" t="s">
        <v>157</v>
      </c>
      <c r="G6" s="2" t="s">
        <v>168</v>
      </c>
    </row>
    <row r="7" spans="1:7" ht="27.6" x14ac:dyDescent="0.25">
      <c r="A7" s="109" t="s">
        <v>54</v>
      </c>
      <c r="B7" s="2" t="s">
        <v>53</v>
      </c>
      <c r="C7" s="104" t="s">
        <v>1189</v>
      </c>
      <c r="D7" s="104">
        <v>0</v>
      </c>
      <c r="E7" s="100"/>
      <c r="F7" s="74" t="s">
        <v>159</v>
      </c>
      <c r="G7" s="2" t="s">
        <v>165</v>
      </c>
    </row>
    <row r="8" spans="1:7" x14ac:dyDescent="0.25">
      <c r="A8" s="109" t="s">
        <v>56</v>
      </c>
      <c r="B8" s="2" t="s">
        <v>57</v>
      </c>
      <c r="C8" s="104" t="s">
        <v>1186</v>
      </c>
      <c r="D8" s="104">
        <v>0</v>
      </c>
      <c r="F8" s="74" t="s">
        <v>171</v>
      </c>
      <c r="G8" s="2" t="s">
        <v>180</v>
      </c>
    </row>
    <row r="9" spans="1:7" ht="27.6" x14ac:dyDescent="0.25">
      <c r="A9" s="109" t="s">
        <v>58</v>
      </c>
      <c r="B9" s="2" t="s">
        <v>59</v>
      </c>
      <c r="C9" s="104">
        <v>0</v>
      </c>
      <c r="D9" s="104">
        <v>0</v>
      </c>
      <c r="F9" s="74" t="s">
        <v>164</v>
      </c>
      <c r="G9" s="2" t="s">
        <v>182</v>
      </c>
    </row>
    <row r="10" spans="1:7" x14ac:dyDescent="0.25">
      <c r="A10" s="109">
        <v>1200021790</v>
      </c>
      <c r="B10" s="2" t="s">
        <v>60</v>
      </c>
      <c r="C10" s="104">
        <v>0</v>
      </c>
      <c r="D10" s="104">
        <v>0</v>
      </c>
      <c r="F10" s="74" t="s">
        <v>167</v>
      </c>
      <c r="G10" s="2" t="s">
        <v>184</v>
      </c>
    </row>
    <row r="11" spans="1:7" ht="27.6" x14ac:dyDescent="0.25">
      <c r="A11" s="109" t="s">
        <v>61</v>
      </c>
      <c r="B11" s="2" t="s">
        <v>62</v>
      </c>
      <c r="C11" s="104" t="s">
        <v>1190</v>
      </c>
      <c r="D11" s="104">
        <v>0</v>
      </c>
      <c r="F11" s="74" t="s">
        <v>170</v>
      </c>
      <c r="G11" s="2" t="s">
        <v>187</v>
      </c>
    </row>
    <row r="12" spans="1:7" ht="27.6" x14ac:dyDescent="0.25">
      <c r="A12" s="109" t="s">
        <v>63</v>
      </c>
      <c r="B12" s="2" t="s">
        <v>64</v>
      </c>
      <c r="C12" s="104" t="s">
        <v>1190</v>
      </c>
      <c r="D12" s="104">
        <v>0</v>
      </c>
      <c r="F12" s="74" t="s">
        <v>172</v>
      </c>
      <c r="G12" s="2" t="s">
        <v>198</v>
      </c>
    </row>
    <row r="13" spans="1:7" ht="27.6" x14ac:dyDescent="0.25">
      <c r="A13" s="109" t="s">
        <v>65</v>
      </c>
      <c r="B13" s="2" t="s">
        <v>66</v>
      </c>
      <c r="C13" s="104">
        <v>0</v>
      </c>
      <c r="D13" s="104">
        <v>0</v>
      </c>
      <c r="F13" s="74" t="s">
        <v>178</v>
      </c>
      <c r="G13" s="2" t="s">
        <v>209</v>
      </c>
    </row>
    <row r="14" spans="1:7" ht="27.6" x14ac:dyDescent="0.25">
      <c r="A14" s="109" t="s">
        <v>67</v>
      </c>
      <c r="B14" s="2" t="s">
        <v>68</v>
      </c>
      <c r="C14" s="104" t="s">
        <v>1191</v>
      </c>
      <c r="D14" s="104">
        <v>0</v>
      </c>
      <c r="F14" s="74" t="s">
        <v>179</v>
      </c>
      <c r="G14" s="2" t="s">
        <v>212</v>
      </c>
    </row>
    <row r="15" spans="1:7" ht="27.6" x14ac:dyDescent="0.25">
      <c r="A15" s="109" t="s">
        <v>70</v>
      </c>
      <c r="B15" s="2" t="s">
        <v>71</v>
      </c>
      <c r="C15" s="104" t="s">
        <v>1186</v>
      </c>
      <c r="D15" s="104">
        <v>0</v>
      </c>
      <c r="F15" s="74" t="s">
        <v>181</v>
      </c>
      <c r="G15" s="2" t="s">
        <v>215</v>
      </c>
    </row>
    <row r="16" spans="1:7" x14ac:dyDescent="0.25">
      <c r="A16" s="109" t="s">
        <v>72</v>
      </c>
      <c r="B16" s="2" t="s">
        <v>73</v>
      </c>
      <c r="C16" s="104">
        <v>0</v>
      </c>
      <c r="D16" s="104">
        <v>0</v>
      </c>
      <c r="F16" s="74" t="s">
        <v>183</v>
      </c>
      <c r="G16" s="2" t="s">
        <v>226</v>
      </c>
    </row>
    <row r="17" spans="1:7" ht="27.6" x14ac:dyDescent="0.25">
      <c r="A17" s="109" t="s">
        <v>74</v>
      </c>
      <c r="B17" s="2" t="s">
        <v>75</v>
      </c>
      <c r="C17" s="104">
        <v>0</v>
      </c>
      <c r="D17" s="104">
        <v>0</v>
      </c>
      <c r="F17" s="74" t="s">
        <v>186</v>
      </c>
      <c r="G17" s="2" t="s">
        <v>254</v>
      </c>
    </row>
    <row r="18" spans="1:7" x14ac:dyDescent="0.25">
      <c r="A18" s="109" t="s">
        <v>76</v>
      </c>
      <c r="B18" s="2" t="s">
        <v>77</v>
      </c>
      <c r="C18" s="104" t="s">
        <v>1192</v>
      </c>
      <c r="D18" s="104">
        <v>0</v>
      </c>
      <c r="F18" s="74" t="s">
        <v>194</v>
      </c>
      <c r="G18" s="2" t="s">
        <v>304</v>
      </c>
    </row>
    <row r="19" spans="1:7" ht="27.6" x14ac:dyDescent="0.25">
      <c r="A19" s="109" t="s">
        <v>78</v>
      </c>
      <c r="B19" s="2" t="s">
        <v>79</v>
      </c>
      <c r="C19" s="104">
        <v>0</v>
      </c>
      <c r="D19" s="104">
        <v>0</v>
      </c>
      <c r="F19" s="74" t="s">
        <v>197</v>
      </c>
      <c r="G19" s="2" t="s">
        <v>310</v>
      </c>
    </row>
    <row r="20" spans="1:7" ht="27.6" x14ac:dyDescent="0.25">
      <c r="A20" s="109" t="s">
        <v>80</v>
      </c>
      <c r="B20" s="2" t="s">
        <v>81</v>
      </c>
      <c r="C20" s="104" t="s">
        <v>1193</v>
      </c>
      <c r="D20" s="104" t="s">
        <v>1176</v>
      </c>
      <c r="F20" s="74" t="s">
        <v>202</v>
      </c>
      <c r="G20" s="2" t="s">
        <v>321</v>
      </c>
    </row>
    <row r="21" spans="1:7" x14ac:dyDescent="0.25">
      <c r="A21" s="109" t="s">
        <v>69</v>
      </c>
      <c r="B21" s="2" t="s">
        <v>82</v>
      </c>
      <c r="C21" s="104" t="s">
        <v>1194</v>
      </c>
      <c r="D21" s="104" t="s">
        <v>1177</v>
      </c>
      <c r="F21" s="74" t="s">
        <v>204</v>
      </c>
      <c r="G21" s="2" t="s">
        <v>353</v>
      </c>
    </row>
    <row r="22" spans="1:7" x14ac:dyDescent="0.25">
      <c r="A22" s="109" t="s">
        <v>104</v>
      </c>
      <c r="B22" s="2" t="s">
        <v>83</v>
      </c>
      <c r="C22" s="104">
        <v>0</v>
      </c>
      <c r="D22" s="104">
        <v>0</v>
      </c>
      <c r="F22" s="74" t="s">
        <v>208</v>
      </c>
      <c r="G22" s="2" t="s">
        <v>356</v>
      </c>
    </row>
    <row r="23" spans="1:7" x14ac:dyDescent="0.25">
      <c r="A23" s="109">
        <v>1200021627</v>
      </c>
      <c r="B23" s="2" t="s">
        <v>84</v>
      </c>
      <c r="C23" s="104">
        <v>0</v>
      </c>
      <c r="D23" s="104">
        <v>0</v>
      </c>
      <c r="F23" s="74" t="s">
        <v>211</v>
      </c>
      <c r="G23" s="2" t="s">
        <v>372</v>
      </c>
    </row>
    <row r="24" spans="1:7" ht="27.6" x14ac:dyDescent="0.25">
      <c r="A24" s="109" t="s">
        <v>136</v>
      </c>
      <c r="B24" s="2" t="s">
        <v>85</v>
      </c>
      <c r="C24" s="104" t="s">
        <v>1178</v>
      </c>
      <c r="D24" s="104" t="s">
        <v>1177</v>
      </c>
      <c r="F24" s="74" t="s">
        <v>214</v>
      </c>
      <c r="G24" s="2" t="s">
        <v>370</v>
      </c>
    </row>
    <row r="25" spans="1:7" x14ac:dyDescent="0.25">
      <c r="A25" s="109" t="s">
        <v>86</v>
      </c>
      <c r="B25" s="2" t="s">
        <v>87</v>
      </c>
      <c r="C25" s="104">
        <v>0</v>
      </c>
      <c r="D25" s="104">
        <v>0</v>
      </c>
      <c r="F25" s="74" t="s">
        <v>217</v>
      </c>
      <c r="G25" s="2" t="s">
        <v>374</v>
      </c>
    </row>
    <row r="26" spans="1:7" x14ac:dyDescent="0.25">
      <c r="A26" s="109" t="s">
        <v>173</v>
      </c>
      <c r="B26" s="2" t="s">
        <v>88</v>
      </c>
      <c r="C26" s="104" t="s">
        <v>1182</v>
      </c>
      <c r="D26" s="104" t="s">
        <v>1176</v>
      </c>
      <c r="F26" s="74" t="s">
        <v>222</v>
      </c>
      <c r="G26" s="2" t="s">
        <v>957</v>
      </c>
    </row>
    <row r="27" spans="1:7" x14ac:dyDescent="0.25">
      <c r="A27" s="109" t="s">
        <v>89</v>
      </c>
      <c r="B27" s="2" t="s">
        <v>90</v>
      </c>
      <c r="C27" s="104" t="s">
        <v>1189</v>
      </c>
      <c r="D27" s="104">
        <v>0</v>
      </c>
      <c r="F27" s="74" t="s">
        <v>224</v>
      </c>
      <c r="G27" s="2" t="s">
        <v>962</v>
      </c>
    </row>
    <row r="28" spans="1:7" ht="27.6" x14ac:dyDescent="0.25">
      <c r="A28" s="109" t="s">
        <v>91</v>
      </c>
      <c r="B28" s="2" t="s">
        <v>92</v>
      </c>
      <c r="C28" s="104">
        <v>0</v>
      </c>
      <c r="D28" s="104">
        <v>0</v>
      </c>
      <c r="F28" s="74" t="s">
        <v>237</v>
      </c>
      <c r="G28" s="2" t="s">
        <v>967</v>
      </c>
    </row>
    <row r="29" spans="1:7" ht="27.6" x14ac:dyDescent="0.25">
      <c r="A29" s="109" t="s">
        <v>174</v>
      </c>
      <c r="B29" s="2" t="s">
        <v>93</v>
      </c>
      <c r="C29" s="104">
        <v>0</v>
      </c>
      <c r="D29" s="104">
        <v>0</v>
      </c>
      <c r="F29" s="74" t="s">
        <v>243</v>
      </c>
      <c r="G29" s="2" t="s">
        <v>964</v>
      </c>
    </row>
    <row r="30" spans="1:7" ht="27.6" x14ac:dyDescent="0.25">
      <c r="A30" s="109" t="s">
        <v>94</v>
      </c>
      <c r="B30" s="2" t="s">
        <v>95</v>
      </c>
      <c r="C30" s="104">
        <v>0</v>
      </c>
      <c r="D30" s="104">
        <v>0</v>
      </c>
      <c r="F30" s="74" t="s">
        <v>249</v>
      </c>
      <c r="G30" s="2" t="s">
        <v>971</v>
      </c>
    </row>
    <row r="31" spans="1:7" ht="27.6" x14ac:dyDescent="0.25">
      <c r="A31" s="109" t="s">
        <v>96</v>
      </c>
      <c r="B31" s="2" t="s">
        <v>97</v>
      </c>
      <c r="C31" s="104" t="s">
        <v>1195</v>
      </c>
      <c r="D31" s="104">
        <v>0</v>
      </c>
      <c r="F31" s="74" t="s">
        <v>253</v>
      </c>
      <c r="G31" s="2" t="s">
        <v>970</v>
      </c>
    </row>
    <row r="32" spans="1:7" ht="27.6" x14ac:dyDescent="0.25">
      <c r="A32" s="109" t="s">
        <v>98</v>
      </c>
      <c r="B32" s="2" t="s">
        <v>99</v>
      </c>
      <c r="C32" s="104" t="s">
        <v>1195</v>
      </c>
      <c r="D32" s="104">
        <v>0</v>
      </c>
      <c r="F32" s="74" t="s">
        <v>257</v>
      </c>
      <c r="G32" s="2" t="s">
        <v>152</v>
      </c>
    </row>
    <row r="33" spans="1:7" x14ac:dyDescent="0.25">
      <c r="A33" s="109" t="s">
        <v>100</v>
      </c>
      <c r="B33" s="2" t="s">
        <v>101</v>
      </c>
      <c r="C33" s="104" t="s">
        <v>1192</v>
      </c>
      <c r="D33" s="104" t="s">
        <v>1178</v>
      </c>
      <c r="F33" s="74" t="s">
        <v>259</v>
      </c>
      <c r="G33" s="2" t="s">
        <v>1120</v>
      </c>
    </row>
    <row r="34" spans="1:7" ht="27.6" x14ac:dyDescent="0.25">
      <c r="A34" s="109" t="s">
        <v>175</v>
      </c>
      <c r="B34" s="2" t="s">
        <v>166</v>
      </c>
      <c r="C34" s="104" t="s">
        <v>1195</v>
      </c>
      <c r="D34" s="104">
        <v>0</v>
      </c>
      <c r="F34" s="74" t="s">
        <v>264</v>
      </c>
      <c r="G34" s="2" t="s">
        <v>264</v>
      </c>
    </row>
    <row r="35" spans="1:7" ht="27.6" x14ac:dyDescent="0.25">
      <c r="A35" s="109" t="s">
        <v>102</v>
      </c>
      <c r="B35" s="2" t="s">
        <v>103</v>
      </c>
      <c r="C35" s="104">
        <v>0</v>
      </c>
      <c r="D35" s="104">
        <v>0</v>
      </c>
      <c r="F35" s="74" t="s">
        <v>267</v>
      </c>
      <c r="G35" s="2" t="s">
        <v>1122</v>
      </c>
    </row>
    <row r="36" spans="1:7" ht="27.6" x14ac:dyDescent="0.25">
      <c r="A36" s="109" t="s">
        <v>105</v>
      </c>
      <c r="B36" s="2" t="s">
        <v>106</v>
      </c>
      <c r="C36" s="104">
        <v>0</v>
      </c>
      <c r="D36" s="104">
        <v>0</v>
      </c>
      <c r="F36" s="74" t="s">
        <v>269</v>
      </c>
      <c r="G36" s="2" t="s">
        <v>1138</v>
      </c>
    </row>
    <row r="37" spans="1:7" ht="27.6" x14ac:dyDescent="0.25">
      <c r="A37" s="109" t="s">
        <v>107</v>
      </c>
      <c r="B37" s="2" t="s">
        <v>108</v>
      </c>
      <c r="C37" s="104" t="s">
        <v>1195</v>
      </c>
      <c r="D37" s="104" t="s">
        <v>1178</v>
      </c>
      <c r="F37" s="74" t="s">
        <v>273</v>
      </c>
      <c r="G37" s="2" t="s">
        <v>1114</v>
      </c>
    </row>
    <row r="38" spans="1:7" x14ac:dyDescent="0.25">
      <c r="A38" s="109" t="s">
        <v>109</v>
      </c>
      <c r="B38" s="2" t="s">
        <v>110</v>
      </c>
      <c r="C38" s="104">
        <v>0</v>
      </c>
      <c r="D38" s="104">
        <v>0</v>
      </c>
      <c r="F38" s="74" t="s">
        <v>275</v>
      </c>
      <c r="G38" s="2"/>
    </row>
    <row r="39" spans="1:7" ht="27.6" x14ac:dyDescent="0.25">
      <c r="A39" s="109" t="s">
        <v>111</v>
      </c>
      <c r="B39" s="2" t="s">
        <v>112</v>
      </c>
      <c r="C39" s="104">
        <v>0</v>
      </c>
      <c r="D39" s="104">
        <v>0</v>
      </c>
      <c r="F39" s="74" t="s">
        <v>282</v>
      </c>
      <c r="G39" s="2"/>
    </row>
    <row r="40" spans="1:7" x14ac:dyDescent="0.25">
      <c r="A40" s="109" t="s">
        <v>113</v>
      </c>
      <c r="B40" s="2" t="s">
        <v>114</v>
      </c>
      <c r="C40" s="104" t="s">
        <v>1178</v>
      </c>
      <c r="D40" s="104">
        <v>0</v>
      </c>
      <c r="F40" s="74" t="s">
        <v>284</v>
      </c>
      <c r="G40" s="2"/>
    </row>
    <row r="41" spans="1:7" ht="27.6" x14ac:dyDescent="0.25">
      <c r="A41" s="109" t="s">
        <v>115</v>
      </c>
      <c r="B41" s="2" t="s">
        <v>116</v>
      </c>
      <c r="C41" s="104" t="s">
        <v>1189</v>
      </c>
      <c r="D41" s="104">
        <v>0</v>
      </c>
      <c r="F41" s="74" t="s">
        <v>293</v>
      </c>
      <c r="G41" s="2"/>
    </row>
    <row r="42" spans="1:7" ht="27.6" x14ac:dyDescent="0.25">
      <c r="A42" s="109" t="s">
        <v>117</v>
      </c>
      <c r="B42" s="2" t="s">
        <v>118</v>
      </c>
      <c r="C42" s="104">
        <v>0</v>
      </c>
      <c r="D42" s="104">
        <v>0</v>
      </c>
      <c r="F42" s="74" t="s">
        <v>298</v>
      </c>
      <c r="G42" s="2"/>
    </row>
    <row r="43" spans="1:7" x14ac:dyDescent="0.25">
      <c r="A43" s="109" t="s">
        <v>119</v>
      </c>
      <c r="B43" s="2" t="s">
        <v>120</v>
      </c>
      <c r="C43" s="104">
        <v>0</v>
      </c>
      <c r="D43" s="104">
        <v>0</v>
      </c>
      <c r="F43" s="74" t="s">
        <v>301</v>
      </c>
      <c r="G43" s="2"/>
    </row>
    <row r="44" spans="1:7" x14ac:dyDescent="0.25">
      <c r="A44" s="109" t="s">
        <v>121</v>
      </c>
      <c r="B44" s="2" t="s">
        <v>122</v>
      </c>
      <c r="C44" s="104">
        <v>0</v>
      </c>
      <c r="D44" s="104">
        <v>0</v>
      </c>
      <c r="F44" s="74" t="s">
        <v>303</v>
      </c>
      <c r="G44" s="2"/>
    </row>
    <row r="45" spans="1:7" x14ac:dyDescent="0.25">
      <c r="A45" s="109" t="s">
        <v>123</v>
      </c>
      <c r="B45" s="2" t="s">
        <v>124</v>
      </c>
      <c r="C45" s="104" t="s">
        <v>1186</v>
      </c>
      <c r="D45" s="104" t="s">
        <v>1178</v>
      </c>
      <c r="F45" s="74" t="s">
        <v>309</v>
      </c>
      <c r="G45" s="2"/>
    </row>
    <row r="46" spans="1:7" x14ac:dyDescent="0.25">
      <c r="A46" s="109" t="s">
        <v>125</v>
      </c>
      <c r="B46" s="2" t="s">
        <v>126</v>
      </c>
      <c r="C46" s="104" t="s">
        <v>1196</v>
      </c>
      <c r="D46" s="104">
        <v>0</v>
      </c>
      <c r="F46" s="74" t="s">
        <v>313</v>
      </c>
      <c r="G46" s="2"/>
    </row>
    <row r="47" spans="1:7" x14ac:dyDescent="0.25">
      <c r="A47" s="109" t="s">
        <v>127</v>
      </c>
      <c r="B47" s="2" t="s">
        <v>128</v>
      </c>
      <c r="C47" s="104">
        <v>0</v>
      </c>
      <c r="D47" s="104">
        <v>0</v>
      </c>
      <c r="F47" s="74" t="s">
        <v>317</v>
      </c>
      <c r="G47" s="2"/>
    </row>
    <row r="48" spans="1:7" ht="27.6" x14ac:dyDescent="0.25">
      <c r="A48" s="109" t="s">
        <v>176</v>
      </c>
      <c r="B48" s="2" t="s">
        <v>129</v>
      </c>
      <c r="C48" s="104" t="s">
        <v>1197</v>
      </c>
      <c r="D48" s="104">
        <v>0</v>
      </c>
      <c r="F48" s="74" t="s">
        <v>318</v>
      </c>
      <c r="G48" s="2"/>
    </row>
    <row r="49" spans="1:7" ht="27.6" x14ac:dyDescent="0.25">
      <c r="A49" s="109" t="s">
        <v>130</v>
      </c>
      <c r="B49" s="2" t="s">
        <v>131</v>
      </c>
      <c r="C49" s="104">
        <v>0</v>
      </c>
      <c r="D49" s="104">
        <v>0</v>
      </c>
      <c r="F49" s="74" t="s">
        <v>320</v>
      </c>
      <c r="G49" s="2"/>
    </row>
    <row r="50" spans="1:7" ht="27.6" x14ac:dyDescent="0.25">
      <c r="A50" s="109" t="s">
        <v>132</v>
      </c>
      <c r="B50" s="2" t="s">
        <v>133</v>
      </c>
      <c r="C50" s="104" t="s">
        <v>1182</v>
      </c>
      <c r="D50" s="104" t="s">
        <v>1179</v>
      </c>
      <c r="F50" s="74" t="s">
        <v>323</v>
      </c>
      <c r="G50" s="2"/>
    </row>
    <row r="51" spans="1:7" ht="27.6" x14ac:dyDescent="0.25">
      <c r="A51" s="109" t="s">
        <v>134</v>
      </c>
      <c r="B51" s="2" t="s">
        <v>135</v>
      </c>
      <c r="C51" s="104">
        <v>0</v>
      </c>
      <c r="D51" s="104">
        <v>0</v>
      </c>
      <c r="F51" s="74" t="s">
        <v>198</v>
      </c>
      <c r="G51" s="2"/>
    </row>
    <row r="52" spans="1:7" ht="27.6" x14ac:dyDescent="0.25">
      <c r="A52" s="109" t="s">
        <v>137</v>
      </c>
      <c r="B52" s="2" t="s">
        <v>138</v>
      </c>
      <c r="C52" s="104">
        <v>0</v>
      </c>
      <c r="D52" s="104">
        <v>0</v>
      </c>
      <c r="F52" s="74" t="s">
        <v>333</v>
      </c>
      <c r="G52" s="2"/>
    </row>
    <row r="53" spans="1:7" x14ac:dyDescent="0.25">
      <c r="A53" s="109" t="s">
        <v>139</v>
      </c>
      <c r="B53" s="2" t="s">
        <v>140</v>
      </c>
      <c r="C53" s="104" t="s">
        <v>1192</v>
      </c>
      <c r="D53" s="104" t="s">
        <v>1179</v>
      </c>
      <c r="F53" s="74" t="s">
        <v>343</v>
      </c>
      <c r="G53" s="2"/>
    </row>
    <row r="54" spans="1:7" ht="27.6" x14ac:dyDescent="0.25">
      <c r="A54" s="109" t="s">
        <v>142</v>
      </c>
      <c r="B54" s="2" t="s">
        <v>143</v>
      </c>
      <c r="C54" s="104" t="s">
        <v>1186</v>
      </c>
      <c r="D54" s="104">
        <v>0</v>
      </c>
      <c r="F54" s="74" t="s">
        <v>351</v>
      </c>
      <c r="G54" s="2"/>
    </row>
    <row r="55" spans="1:7" x14ac:dyDescent="0.25">
      <c r="A55" s="109" t="s">
        <v>144</v>
      </c>
      <c r="B55" s="2" t="s">
        <v>145</v>
      </c>
      <c r="C55" s="104" t="s">
        <v>1180</v>
      </c>
      <c r="D55" s="104">
        <v>0</v>
      </c>
      <c r="F55" s="74" t="s">
        <v>352</v>
      </c>
      <c r="G55" s="2"/>
    </row>
    <row r="56" spans="1:7" x14ac:dyDescent="0.25">
      <c r="A56" s="109" t="s">
        <v>146</v>
      </c>
      <c r="B56" s="2" t="s">
        <v>147</v>
      </c>
      <c r="C56" s="104">
        <v>0</v>
      </c>
      <c r="D56" s="104">
        <v>0</v>
      </c>
      <c r="F56" s="74" t="s">
        <v>355</v>
      </c>
      <c r="G56" s="2"/>
    </row>
    <row r="57" spans="1:7" ht="27.6" x14ac:dyDescent="0.25">
      <c r="A57" s="109" t="s">
        <v>148</v>
      </c>
      <c r="B57" s="2" t="s">
        <v>149</v>
      </c>
      <c r="C57" s="104">
        <v>0</v>
      </c>
      <c r="D57" s="104">
        <v>0</v>
      </c>
      <c r="F57" s="74" t="s">
        <v>364</v>
      </c>
      <c r="G57" s="2"/>
    </row>
    <row r="58" spans="1:7" x14ac:dyDescent="0.25">
      <c r="A58" s="109" t="s">
        <v>150</v>
      </c>
      <c r="B58" s="2" t="s">
        <v>151</v>
      </c>
      <c r="C58" s="104">
        <v>0</v>
      </c>
      <c r="D58" s="104">
        <v>0</v>
      </c>
      <c r="F58" s="74" t="s">
        <v>366</v>
      </c>
      <c r="G58" s="2"/>
    </row>
    <row r="59" spans="1:7" ht="27.6" x14ac:dyDescent="0.25">
      <c r="A59" s="109" t="s">
        <v>153</v>
      </c>
      <c r="B59" s="2" t="s">
        <v>154</v>
      </c>
      <c r="C59" s="104" t="s">
        <v>1186</v>
      </c>
      <c r="D59" s="104">
        <v>0</v>
      </c>
      <c r="F59" s="74" t="s">
        <v>186</v>
      </c>
      <c r="G59" s="2"/>
    </row>
    <row r="60" spans="1:7" x14ac:dyDescent="0.25">
      <c r="A60" s="109" t="s">
        <v>155</v>
      </c>
      <c r="B60" s="2" t="s">
        <v>156</v>
      </c>
      <c r="C60" s="104">
        <v>0</v>
      </c>
      <c r="D60" s="104">
        <v>0</v>
      </c>
      <c r="F60" s="74" t="s">
        <v>371</v>
      </c>
      <c r="G60" s="2"/>
    </row>
    <row r="61" spans="1:7" x14ac:dyDescent="0.25">
      <c r="A61" s="109" t="s">
        <v>161</v>
      </c>
      <c r="B61" s="2" t="s">
        <v>162</v>
      </c>
      <c r="C61" s="104">
        <v>0</v>
      </c>
      <c r="D61" s="104">
        <v>0</v>
      </c>
      <c r="F61" s="74" t="s">
        <v>373</v>
      </c>
      <c r="G61" s="2"/>
    </row>
    <row r="62" spans="1:7" ht="27.6" x14ac:dyDescent="0.25">
      <c r="A62" s="109" t="s">
        <v>177</v>
      </c>
      <c r="B62" s="2" t="s">
        <v>163</v>
      </c>
      <c r="C62" s="104">
        <v>0</v>
      </c>
      <c r="D62" s="104">
        <v>0</v>
      </c>
      <c r="F62" s="74" t="s">
        <v>378</v>
      </c>
      <c r="G62" s="2"/>
    </row>
    <row r="63" spans="1:7" ht="27.6" x14ac:dyDescent="0.25">
      <c r="A63" s="109" t="s">
        <v>185</v>
      </c>
      <c r="B63" s="2" t="s">
        <v>188</v>
      </c>
      <c r="C63" s="104">
        <v>0</v>
      </c>
      <c r="D63" s="104">
        <v>0</v>
      </c>
      <c r="F63" s="74" t="s">
        <v>949</v>
      </c>
      <c r="G63" s="2"/>
    </row>
    <row r="64" spans="1:7" ht="27.6" x14ac:dyDescent="0.25">
      <c r="A64" s="109" t="s">
        <v>189</v>
      </c>
      <c r="B64" s="2" t="s">
        <v>190</v>
      </c>
      <c r="C64" s="104">
        <v>0</v>
      </c>
      <c r="D64" s="104">
        <v>0</v>
      </c>
      <c r="F64" s="74" t="s">
        <v>951</v>
      </c>
      <c r="G64" s="2"/>
    </row>
    <row r="65" spans="1:7" x14ac:dyDescent="0.25">
      <c r="A65" s="109" t="s">
        <v>191</v>
      </c>
      <c r="B65" s="2" t="s">
        <v>192</v>
      </c>
      <c r="C65" s="104" t="s">
        <v>1191</v>
      </c>
      <c r="D65" s="104">
        <v>0</v>
      </c>
      <c r="F65" s="74" t="s">
        <v>960</v>
      </c>
      <c r="G65" s="2"/>
    </row>
    <row r="66" spans="1:7" ht="27.6" x14ac:dyDescent="0.25">
      <c r="A66" s="109" t="s">
        <v>193</v>
      </c>
      <c r="B66" s="2" t="s">
        <v>195</v>
      </c>
      <c r="C66" s="104">
        <v>0</v>
      </c>
      <c r="D66" s="104">
        <v>0</v>
      </c>
      <c r="F66" s="74" t="s">
        <v>961</v>
      </c>
      <c r="G66" s="2"/>
    </row>
    <row r="67" spans="1:7" ht="41.4" x14ac:dyDescent="0.25">
      <c r="A67" s="109" t="s">
        <v>196</v>
      </c>
      <c r="B67" s="2" t="s">
        <v>199</v>
      </c>
      <c r="C67" s="104">
        <v>0</v>
      </c>
      <c r="D67" s="104">
        <v>0</v>
      </c>
      <c r="F67" s="74" t="s">
        <v>966</v>
      </c>
      <c r="G67" s="2"/>
    </row>
    <row r="68" spans="1:7" ht="27.6" x14ac:dyDescent="0.25">
      <c r="A68" s="109" t="s">
        <v>200</v>
      </c>
      <c r="B68" s="2" t="s">
        <v>201</v>
      </c>
      <c r="C68" s="104" t="s">
        <v>1198</v>
      </c>
      <c r="D68" s="104">
        <v>0</v>
      </c>
      <c r="F68" s="74" t="s">
        <v>1113</v>
      </c>
      <c r="G68" s="2"/>
    </row>
    <row r="69" spans="1:7" ht="27.6" x14ac:dyDescent="0.25">
      <c r="A69" s="109" t="s">
        <v>203</v>
      </c>
      <c r="B69" s="2" t="s">
        <v>205</v>
      </c>
      <c r="C69" s="104">
        <v>0</v>
      </c>
      <c r="D69" s="104">
        <v>0</v>
      </c>
      <c r="F69" s="74" t="s">
        <v>1114</v>
      </c>
      <c r="G69" s="2"/>
    </row>
    <row r="70" spans="1:7" ht="27.6" x14ac:dyDescent="0.25">
      <c r="A70" s="109" t="s">
        <v>206</v>
      </c>
      <c r="B70" s="2" t="s">
        <v>207</v>
      </c>
      <c r="C70" s="104">
        <v>0</v>
      </c>
      <c r="D70" s="104" t="s">
        <v>1178</v>
      </c>
      <c r="F70" s="74" t="s">
        <v>1119</v>
      </c>
      <c r="G70" s="2"/>
    </row>
    <row r="71" spans="1:7" x14ac:dyDescent="0.25">
      <c r="A71" s="109" t="s">
        <v>210</v>
      </c>
      <c r="B71" s="2" t="s">
        <v>213</v>
      </c>
      <c r="C71" s="104">
        <v>0</v>
      </c>
      <c r="D71" s="104" t="s">
        <v>1180</v>
      </c>
      <c r="F71" s="74" t="s">
        <v>1121</v>
      </c>
      <c r="G71" s="2"/>
    </row>
    <row r="72" spans="1:7" ht="27.6" x14ac:dyDescent="0.25">
      <c r="A72" s="109" t="s">
        <v>216</v>
      </c>
      <c r="B72" s="2" t="s">
        <v>218</v>
      </c>
      <c r="C72" s="104">
        <v>0</v>
      </c>
      <c r="D72" s="104">
        <v>0</v>
      </c>
      <c r="F72" s="74" t="s">
        <v>1133</v>
      </c>
      <c r="G72" s="2"/>
    </row>
    <row r="73" spans="1:7" ht="41.4" x14ac:dyDescent="0.25">
      <c r="A73" s="109" t="s">
        <v>219</v>
      </c>
      <c r="B73" s="2" t="s">
        <v>220</v>
      </c>
      <c r="C73" s="104">
        <v>0</v>
      </c>
      <c r="D73" s="104">
        <v>0</v>
      </c>
      <c r="F73" s="74" t="s">
        <v>1135</v>
      </c>
      <c r="G73" s="2"/>
    </row>
    <row r="74" spans="1:7" x14ac:dyDescent="0.25">
      <c r="A74" s="109" t="s">
        <v>221</v>
      </c>
      <c r="B74" s="2" t="s">
        <v>223</v>
      </c>
      <c r="C74" s="104">
        <v>0</v>
      </c>
      <c r="D74" s="104">
        <v>0</v>
      </c>
      <c r="F74" s="74" t="s">
        <v>1137</v>
      </c>
      <c r="G74" s="2"/>
    </row>
    <row r="75" spans="1:7" x14ac:dyDescent="0.25">
      <c r="A75" s="109" t="s">
        <v>225</v>
      </c>
      <c r="B75" s="2" t="s">
        <v>227</v>
      </c>
      <c r="C75" s="104">
        <v>0</v>
      </c>
      <c r="D75" s="104" t="s">
        <v>1181</v>
      </c>
      <c r="F75" s="74" t="s">
        <v>1146</v>
      </c>
      <c r="G75" s="2"/>
    </row>
    <row r="76" spans="1:7" ht="27.6" x14ac:dyDescent="0.25">
      <c r="A76" s="109" t="s">
        <v>235</v>
      </c>
      <c r="B76" s="2" t="s">
        <v>236</v>
      </c>
      <c r="C76" s="104" t="s">
        <v>1191</v>
      </c>
      <c r="D76" s="104" t="s">
        <v>1182</v>
      </c>
      <c r="F76" s="74" t="s">
        <v>1150</v>
      </c>
      <c r="G76" s="2"/>
    </row>
    <row r="77" spans="1:7" ht="69" x14ac:dyDescent="0.25">
      <c r="A77" s="109" t="s">
        <v>238</v>
      </c>
      <c r="B77" s="2" t="s">
        <v>239</v>
      </c>
      <c r="C77" s="104">
        <v>0</v>
      </c>
      <c r="D77" s="104">
        <v>0</v>
      </c>
      <c r="F77" s="74"/>
      <c r="G77" s="2"/>
    </row>
    <row r="78" spans="1:7" ht="41.4" x14ac:dyDescent="0.25">
      <c r="A78" s="109" t="s">
        <v>240</v>
      </c>
      <c r="B78" s="2" t="s">
        <v>241</v>
      </c>
      <c r="C78" s="104">
        <v>0</v>
      </c>
      <c r="D78" s="104">
        <v>0</v>
      </c>
      <c r="F78" s="74"/>
      <c r="G78" s="2"/>
    </row>
    <row r="79" spans="1:7" x14ac:dyDescent="0.25">
      <c r="A79" s="109" t="s">
        <v>242</v>
      </c>
      <c r="B79" s="2" t="s">
        <v>244</v>
      </c>
      <c r="C79" s="104">
        <v>0</v>
      </c>
      <c r="D79" s="104">
        <v>0</v>
      </c>
      <c r="F79" s="74"/>
      <c r="G79" s="2"/>
    </row>
    <row r="80" spans="1:7" x14ac:dyDescent="0.25">
      <c r="A80" s="109" t="s">
        <v>245</v>
      </c>
      <c r="B80" s="2" t="s">
        <v>246</v>
      </c>
      <c r="C80" s="104">
        <v>0</v>
      </c>
      <c r="D80" s="104">
        <v>0</v>
      </c>
      <c r="F80" s="74"/>
      <c r="G80" s="2"/>
    </row>
    <row r="81" spans="1:7" ht="27.6" x14ac:dyDescent="0.25">
      <c r="A81" s="109" t="s">
        <v>247</v>
      </c>
      <c r="B81" s="2" t="s">
        <v>248</v>
      </c>
      <c r="C81" s="104" t="s">
        <v>1195</v>
      </c>
      <c r="D81" s="104">
        <v>0</v>
      </c>
      <c r="F81" s="74"/>
      <c r="G81" s="2"/>
    </row>
    <row r="82" spans="1:7" x14ac:dyDescent="0.25">
      <c r="A82" s="109" t="s">
        <v>250</v>
      </c>
      <c r="B82" s="2" t="s">
        <v>251</v>
      </c>
      <c r="C82" s="104" t="s">
        <v>1191</v>
      </c>
      <c r="D82" s="104">
        <v>0</v>
      </c>
      <c r="F82" s="74"/>
      <c r="G82" s="2"/>
    </row>
    <row r="83" spans="1:7" x14ac:dyDescent="0.25">
      <c r="A83" s="109" t="s">
        <v>252</v>
      </c>
      <c r="B83" s="2" t="s">
        <v>255</v>
      </c>
      <c r="C83" s="104" t="s">
        <v>1186</v>
      </c>
      <c r="D83" s="104">
        <v>0</v>
      </c>
      <c r="F83" s="74"/>
      <c r="G83" s="2"/>
    </row>
    <row r="84" spans="1:7" ht="27.6" x14ac:dyDescent="0.25">
      <c r="A84" s="109" t="s">
        <v>256</v>
      </c>
      <c r="B84" s="2" t="s">
        <v>258</v>
      </c>
      <c r="C84" s="104">
        <v>0</v>
      </c>
      <c r="D84" s="104">
        <v>0</v>
      </c>
      <c r="F84" s="74"/>
      <c r="G84" s="2"/>
    </row>
    <row r="85" spans="1:7" ht="27.6" x14ac:dyDescent="0.25">
      <c r="A85" s="109" t="s">
        <v>260</v>
      </c>
      <c r="B85" s="2" t="s">
        <v>261</v>
      </c>
      <c r="C85" s="104">
        <v>0</v>
      </c>
      <c r="D85" s="104">
        <v>0</v>
      </c>
      <c r="F85" s="74"/>
      <c r="G85" s="2"/>
    </row>
    <row r="86" spans="1:7" ht="27.6" x14ac:dyDescent="0.25">
      <c r="A86" s="109" t="s">
        <v>262</v>
      </c>
      <c r="B86" s="2" t="s">
        <v>263</v>
      </c>
      <c r="C86" s="104" t="s">
        <v>1198</v>
      </c>
      <c r="D86" s="104">
        <v>0</v>
      </c>
      <c r="F86" s="74"/>
      <c r="G86" s="2"/>
    </row>
    <row r="87" spans="1:7" ht="27.6" x14ac:dyDescent="0.25">
      <c r="A87" s="109" t="s">
        <v>265</v>
      </c>
      <c r="B87" s="2" t="s">
        <v>266</v>
      </c>
      <c r="C87" s="104">
        <v>0</v>
      </c>
      <c r="D87" s="104">
        <v>0</v>
      </c>
      <c r="F87" s="74"/>
      <c r="G87" s="2"/>
    </row>
    <row r="88" spans="1:7" ht="27.6" x14ac:dyDescent="0.25">
      <c r="A88" s="109" t="s">
        <v>268</v>
      </c>
      <c r="B88" s="2" t="s">
        <v>270</v>
      </c>
      <c r="C88" s="104" t="s">
        <v>1182</v>
      </c>
      <c r="D88" s="104">
        <v>0</v>
      </c>
      <c r="F88" s="74"/>
      <c r="G88" s="2"/>
    </row>
    <row r="89" spans="1:7" ht="27.6" x14ac:dyDescent="0.25">
      <c r="A89" s="109" t="s">
        <v>271</v>
      </c>
      <c r="B89" s="2" t="s">
        <v>272</v>
      </c>
      <c r="C89" s="104" t="s">
        <v>1195</v>
      </c>
      <c r="D89" s="104">
        <v>0</v>
      </c>
      <c r="F89" s="74"/>
      <c r="G89" s="2"/>
    </row>
    <row r="90" spans="1:7" ht="41.4" x14ac:dyDescent="0.25">
      <c r="A90" s="109" t="s">
        <v>274</v>
      </c>
      <c r="B90" s="2" t="s">
        <v>276</v>
      </c>
      <c r="C90" s="104" t="s">
        <v>1191</v>
      </c>
      <c r="D90" s="104">
        <v>0</v>
      </c>
      <c r="F90" s="74"/>
      <c r="G90" s="2"/>
    </row>
    <row r="91" spans="1:7" ht="27.6" x14ac:dyDescent="0.25">
      <c r="A91" s="109" t="s">
        <v>277</v>
      </c>
      <c r="B91" s="2" t="s">
        <v>278</v>
      </c>
      <c r="C91" s="104">
        <v>0</v>
      </c>
      <c r="D91" s="104">
        <v>0</v>
      </c>
      <c r="F91" s="74"/>
      <c r="G91" s="2"/>
    </row>
    <row r="92" spans="1:7" ht="27.6" x14ac:dyDescent="0.25">
      <c r="A92" s="109" t="s">
        <v>279</v>
      </c>
      <c r="B92" s="2" t="s">
        <v>280</v>
      </c>
      <c r="C92" s="104">
        <v>0</v>
      </c>
      <c r="D92" s="104">
        <v>0</v>
      </c>
      <c r="F92" s="74"/>
      <c r="G92" s="2"/>
    </row>
    <row r="93" spans="1:7" x14ac:dyDescent="0.25">
      <c r="A93" s="109" t="s">
        <v>281</v>
      </c>
      <c r="B93" s="2" t="s">
        <v>283</v>
      </c>
      <c r="C93" s="104">
        <v>0</v>
      </c>
      <c r="D93" s="104">
        <v>0</v>
      </c>
      <c r="F93" s="74"/>
      <c r="G93" s="2"/>
    </row>
    <row r="94" spans="1:7" ht="27.6" x14ac:dyDescent="0.25">
      <c r="A94" s="109" t="s">
        <v>285</v>
      </c>
      <c r="B94" s="2" t="s">
        <v>286</v>
      </c>
      <c r="C94" s="104" t="s">
        <v>1186</v>
      </c>
      <c r="D94" s="104">
        <v>0</v>
      </c>
      <c r="F94" s="74"/>
      <c r="G94" s="2"/>
    </row>
    <row r="95" spans="1:7" x14ac:dyDescent="0.25">
      <c r="A95" s="109" t="s">
        <v>287</v>
      </c>
      <c r="B95" s="2" t="s">
        <v>288</v>
      </c>
      <c r="C95" s="104" t="s">
        <v>1195</v>
      </c>
      <c r="D95" s="104">
        <v>0</v>
      </c>
      <c r="F95" s="74"/>
      <c r="G95" s="2"/>
    </row>
    <row r="96" spans="1:7" x14ac:dyDescent="0.25">
      <c r="A96" s="109" t="s">
        <v>289</v>
      </c>
      <c r="B96" s="2" t="s">
        <v>290</v>
      </c>
      <c r="C96" s="104">
        <v>0</v>
      </c>
      <c r="D96" s="104">
        <v>0</v>
      </c>
      <c r="F96" s="74"/>
      <c r="G96" s="2"/>
    </row>
    <row r="97" spans="1:7" x14ac:dyDescent="0.25">
      <c r="A97" s="109" t="s">
        <v>291</v>
      </c>
      <c r="B97" s="2" t="s">
        <v>292</v>
      </c>
      <c r="C97" s="104" t="s">
        <v>1195</v>
      </c>
      <c r="D97" s="104">
        <v>0</v>
      </c>
      <c r="F97" s="74"/>
      <c r="G97" s="2"/>
    </row>
    <row r="98" spans="1:7" x14ac:dyDescent="0.25">
      <c r="A98" s="109" t="s">
        <v>294</v>
      </c>
      <c r="B98" s="2" t="s">
        <v>295</v>
      </c>
      <c r="C98" s="104">
        <v>0</v>
      </c>
      <c r="D98" s="104">
        <v>0</v>
      </c>
      <c r="F98" s="74"/>
      <c r="G98" s="2"/>
    </row>
    <row r="99" spans="1:7" ht="27.6" x14ac:dyDescent="0.25">
      <c r="A99" s="109" t="s">
        <v>296</v>
      </c>
      <c r="B99" s="2" t="s">
        <v>297</v>
      </c>
      <c r="C99" s="104" t="s">
        <v>1195</v>
      </c>
      <c r="D99" s="104">
        <v>0</v>
      </c>
      <c r="F99" s="74"/>
      <c r="G99" s="2"/>
    </row>
    <row r="100" spans="1:7" ht="27.6" x14ac:dyDescent="0.25">
      <c r="A100" s="109" t="s">
        <v>299</v>
      </c>
      <c r="B100" s="2" t="s">
        <v>300</v>
      </c>
      <c r="C100" s="104">
        <v>0</v>
      </c>
      <c r="D100" s="104">
        <v>0</v>
      </c>
      <c r="F100" s="74"/>
      <c r="G100" s="2"/>
    </row>
    <row r="101" spans="1:7" x14ac:dyDescent="0.25">
      <c r="A101" s="109" t="s">
        <v>302</v>
      </c>
      <c r="B101" s="2" t="s">
        <v>305</v>
      </c>
      <c r="C101" s="104">
        <v>0</v>
      </c>
      <c r="D101" s="104">
        <v>0</v>
      </c>
      <c r="F101" s="74"/>
      <c r="G101" s="2"/>
    </row>
    <row r="102" spans="1:7" ht="27.6" x14ac:dyDescent="0.25">
      <c r="A102" s="109" t="s">
        <v>306</v>
      </c>
      <c r="B102" s="2" t="s">
        <v>307</v>
      </c>
      <c r="C102" s="104">
        <v>0</v>
      </c>
      <c r="D102" s="104">
        <v>0</v>
      </c>
      <c r="F102" s="74"/>
      <c r="G102" s="2"/>
    </row>
    <row r="103" spans="1:7" ht="27.6" x14ac:dyDescent="0.25">
      <c r="A103" s="109" t="s">
        <v>308</v>
      </c>
      <c r="B103" s="2" t="s">
        <v>311</v>
      </c>
      <c r="C103" s="104" t="s">
        <v>1189</v>
      </c>
      <c r="D103" s="104" t="s">
        <v>1182</v>
      </c>
      <c r="F103" s="74"/>
      <c r="G103" s="2"/>
    </row>
    <row r="104" spans="1:7" ht="27.6" x14ac:dyDescent="0.25">
      <c r="A104" s="109" t="s">
        <v>312</v>
      </c>
      <c r="B104" s="2" t="s">
        <v>314</v>
      </c>
      <c r="C104" s="104">
        <v>0</v>
      </c>
      <c r="D104" s="104">
        <v>0</v>
      </c>
      <c r="F104" s="74"/>
      <c r="G104" s="2"/>
    </row>
    <row r="105" spans="1:7" ht="41.4" x14ac:dyDescent="0.25">
      <c r="A105" s="109" t="s">
        <v>315</v>
      </c>
      <c r="B105" s="2" t="s">
        <v>316</v>
      </c>
      <c r="C105" s="104" t="s">
        <v>1186</v>
      </c>
      <c r="D105" s="104">
        <v>0</v>
      </c>
      <c r="F105" s="74"/>
      <c r="G105" s="2"/>
    </row>
    <row r="106" spans="1:7" x14ac:dyDescent="0.25">
      <c r="A106" s="109" t="s">
        <v>319</v>
      </c>
      <c r="B106" s="2" t="s">
        <v>322</v>
      </c>
      <c r="C106" s="104">
        <v>0</v>
      </c>
      <c r="D106" s="104">
        <v>0</v>
      </c>
    </row>
    <row r="107" spans="1:7" ht="27.6" x14ac:dyDescent="0.25">
      <c r="A107" s="109" t="s">
        <v>324</v>
      </c>
      <c r="B107" s="2" t="s">
        <v>325</v>
      </c>
      <c r="C107" s="104">
        <v>0</v>
      </c>
      <c r="D107" s="104">
        <v>0</v>
      </c>
    </row>
    <row r="108" spans="1:7" ht="27.6" x14ac:dyDescent="0.25">
      <c r="A108" s="109" t="s">
        <v>326</v>
      </c>
      <c r="B108" s="2" t="s">
        <v>327</v>
      </c>
      <c r="C108" s="104">
        <v>0</v>
      </c>
      <c r="D108" s="104">
        <v>0</v>
      </c>
    </row>
    <row r="109" spans="1:7" ht="27.6" x14ac:dyDescent="0.25">
      <c r="A109" s="109" t="s">
        <v>328</v>
      </c>
      <c r="B109" s="2" t="s">
        <v>329</v>
      </c>
      <c r="C109" s="104" t="s">
        <v>1186</v>
      </c>
      <c r="D109" s="104">
        <v>0</v>
      </c>
    </row>
    <row r="110" spans="1:7" ht="41.4" x14ac:dyDescent="0.25">
      <c r="A110" s="109" t="s">
        <v>330</v>
      </c>
      <c r="B110" s="2" t="s">
        <v>331</v>
      </c>
      <c r="C110" s="104" t="s">
        <v>1190</v>
      </c>
      <c r="D110" s="104">
        <v>0</v>
      </c>
    </row>
    <row r="111" spans="1:7" ht="41.4" x14ac:dyDescent="0.25">
      <c r="A111" s="109" t="s">
        <v>332</v>
      </c>
      <c r="B111" s="2" t="s">
        <v>334</v>
      </c>
      <c r="C111" s="104">
        <v>0</v>
      </c>
      <c r="D111" s="104">
        <v>0</v>
      </c>
    </row>
    <row r="112" spans="1:7" ht="41.4" x14ac:dyDescent="0.25">
      <c r="A112" s="109" t="s">
        <v>335</v>
      </c>
      <c r="B112" s="2" t="s">
        <v>336</v>
      </c>
      <c r="C112" s="104">
        <v>0</v>
      </c>
      <c r="D112" s="104">
        <v>0</v>
      </c>
    </row>
    <row r="113" spans="1:5" ht="27.6" x14ac:dyDescent="0.25">
      <c r="A113" s="109" t="s">
        <v>338</v>
      </c>
      <c r="B113" s="2" t="s">
        <v>339</v>
      </c>
      <c r="C113" s="104">
        <v>0</v>
      </c>
      <c r="D113" s="104">
        <v>0</v>
      </c>
    </row>
    <row r="114" spans="1:5" x14ac:dyDescent="0.25">
      <c r="A114" s="109" t="s">
        <v>340</v>
      </c>
      <c r="B114" s="2" t="s">
        <v>341</v>
      </c>
      <c r="C114" s="104">
        <v>0</v>
      </c>
      <c r="D114" s="104">
        <v>0</v>
      </c>
    </row>
    <row r="115" spans="1:5" x14ac:dyDescent="0.25">
      <c r="A115" s="109" t="s">
        <v>342</v>
      </c>
      <c r="B115" s="2" t="s">
        <v>344</v>
      </c>
      <c r="C115" s="104">
        <v>0</v>
      </c>
      <c r="D115" s="104">
        <v>0</v>
      </c>
    </row>
    <row r="116" spans="1:5" ht="27.6" x14ac:dyDescent="0.25">
      <c r="A116" s="109" t="s">
        <v>345</v>
      </c>
      <c r="B116" s="2" t="s">
        <v>346</v>
      </c>
      <c r="C116" s="104">
        <v>0</v>
      </c>
      <c r="D116" s="104">
        <v>0</v>
      </c>
    </row>
    <row r="117" spans="1:5" x14ac:dyDescent="0.25">
      <c r="A117" s="109" t="s">
        <v>347</v>
      </c>
      <c r="B117" s="2" t="s">
        <v>348</v>
      </c>
      <c r="C117" s="104">
        <v>0</v>
      </c>
      <c r="D117" s="104">
        <v>0</v>
      </c>
    </row>
    <row r="118" spans="1:5" x14ac:dyDescent="0.25">
      <c r="A118" s="109" t="s">
        <v>349</v>
      </c>
      <c r="B118" s="2" t="s">
        <v>350</v>
      </c>
      <c r="C118" s="104" t="s">
        <v>1182</v>
      </c>
      <c r="D118" s="104">
        <v>0</v>
      </c>
    </row>
    <row r="119" spans="1:5" ht="27.6" x14ac:dyDescent="0.25">
      <c r="A119" s="109" t="s">
        <v>354</v>
      </c>
      <c r="B119" s="2" t="s">
        <v>357</v>
      </c>
      <c r="C119" s="104">
        <v>0</v>
      </c>
      <c r="D119" s="104">
        <v>0</v>
      </c>
    </row>
    <row r="120" spans="1:5" ht="27.6" x14ac:dyDescent="0.25">
      <c r="A120" s="109" t="s">
        <v>358</v>
      </c>
      <c r="B120" s="2" t="s">
        <v>359</v>
      </c>
      <c r="C120" s="104">
        <v>0</v>
      </c>
      <c r="D120" s="104">
        <v>0</v>
      </c>
    </row>
    <row r="121" spans="1:5" ht="27.6" x14ac:dyDescent="0.25">
      <c r="A121" s="109" t="s">
        <v>360</v>
      </c>
      <c r="B121" s="2" t="s">
        <v>361</v>
      </c>
      <c r="C121" s="104" t="s">
        <v>1190</v>
      </c>
      <c r="D121" s="104">
        <v>0</v>
      </c>
    </row>
    <row r="122" spans="1:5" ht="27.6" x14ac:dyDescent="0.25">
      <c r="A122" s="109" t="s">
        <v>362</v>
      </c>
      <c r="B122" s="2" t="s">
        <v>363</v>
      </c>
      <c r="C122" s="104" t="s">
        <v>1190</v>
      </c>
      <c r="D122" s="104">
        <v>0</v>
      </c>
    </row>
    <row r="123" spans="1:5" x14ac:dyDescent="0.25">
      <c r="A123" s="109" t="s">
        <v>365</v>
      </c>
      <c r="B123" s="2" t="s">
        <v>367</v>
      </c>
      <c r="C123" s="104">
        <v>0</v>
      </c>
      <c r="D123" s="104">
        <v>0</v>
      </c>
    </row>
    <row r="124" spans="1:5" x14ac:dyDescent="0.25">
      <c r="A124" s="109" t="s">
        <v>368</v>
      </c>
      <c r="B124" s="2" t="s">
        <v>369</v>
      </c>
      <c r="C124" s="104">
        <v>0</v>
      </c>
      <c r="D124" s="104">
        <v>0</v>
      </c>
    </row>
    <row r="125" spans="1:5" ht="41.4" x14ac:dyDescent="0.25">
      <c r="A125" s="109" t="s">
        <v>375</v>
      </c>
      <c r="B125" s="2" t="s">
        <v>376</v>
      </c>
      <c r="C125" s="104" t="s">
        <v>1196</v>
      </c>
      <c r="D125" s="104">
        <v>0</v>
      </c>
    </row>
    <row r="126" spans="1:5" ht="27.6" x14ac:dyDescent="0.25">
      <c r="A126" s="109" t="s">
        <v>377</v>
      </c>
      <c r="B126" s="2" t="s">
        <v>379</v>
      </c>
      <c r="C126" s="104" t="s">
        <v>1189</v>
      </c>
      <c r="D126" s="104" t="s">
        <v>1183</v>
      </c>
    </row>
    <row r="127" spans="1:5" ht="27.6" x14ac:dyDescent="0.25">
      <c r="A127" s="109" t="s">
        <v>380</v>
      </c>
      <c r="B127" s="2" t="s">
        <v>381</v>
      </c>
      <c r="C127" s="104" t="s">
        <v>1182</v>
      </c>
      <c r="D127" s="104" t="s">
        <v>1178</v>
      </c>
      <c r="E127" s="102"/>
    </row>
    <row r="128" spans="1:5" x14ac:dyDescent="0.25">
      <c r="A128" s="109" t="s">
        <v>382</v>
      </c>
      <c r="B128" s="2" t="s">
        <v>383</v>
      </c>
      <c r="C128" s="104" t="s">
        <v>1183</v>
      </c>
      <c r="D128" s="104" t="s">
        <v>1179</v>
      </c>
    </row>
    <row r="129" spans="1:4" x14ac:dyDescent="0.25">
      <c r="A129" s="109" t="s">
        <v>386</v>
      </c>
      <c r="B129" s="2" t="s">
        <v>667</v>
      </c>
      <c r="C129" s="104" t="s">
        <v>1179</v>
      </c>
      <c r="D129" s="104" t="s">
        <v>1184</v>
      </c>
    </row>
    <row r="130" spans="1:4" ht="27.6" x14ac:dyDescent="0.25">
      <c r="A130" s="109" t="s">
        <v>387</v>
      </c>
      <c r="B130" s="2" t="s">
        <v>668</v>
      </c>
      <c r="C130" s="104" t="s">
        <v>1199</v>
      </c>
      <c r="D130" s="104" t="s">
        <v>1182</v>
      </c>
    </row>
    <row r="131" spans="1:4" ht="27.6" x14ac:dyDescent="0.25">
      <c r="A131" s="109" t="s">
        <v>388</v>
      </c>
      <c r="B131" s="2" t="s">
        <v>669</v>
      </c>
      <c r="C131" s="104" t="s">
        <v>1200</v>
      </c>
      <c r="D131" s="104">
        <v>0</v>
      </c>
    </row>
    <row r="132" spans="1:4" ht="27.6" x14ac:dyDescent="0.25">
      <c r="A132" s="109" t="s">
        <v>389</v>
      </c>
      <c r="B132" s="2" t="s">
        <v>670</v>
      </c>
      <c r="C132" s="104" t="s">
        <v>1178</v>
      </c>
      <c r="D132" s="104" t="s">
        <v>1182</v>
      </c>
    </row>
    <row r="133" spans="1:4" ht="27.6" x14ac:dyDescent="0.25">
      <c r="A133" s="109" t="s">
        <v>390</v>
      </c>
      <c r="B133" s="2" t="s">
        <v>671</v>
      </c>
      <c r="C133" s="104" t="s">
        <v>1178</v>
      </c>
      <c r="D133" s="104" t="s">
        <v>1176</v>
      </c>
    </row>
    <row r="134" spans="1:4" ht="27.6" x14ac:dyDescent="0.25">
      <c r="A134" s="109" t="s">
        <v>391</v>
      </c>
      <c r="B134" s="2" t="s">
        <v>672</v>
      </c>
      <c r="C134" s="104" t="s">
        <v>1183</v>
      </c>
      <c r="D134" s="104">
        <v>0</v>
      </c>
    </row>
    <row r="135" spans="1:4" ht="27.6" x14ac:dyDescent="0.25">
      <c r="A135" s="109" t="s">
        <v>392</v>
      </c>
      <c r="B135" s="2" t="s">
        <v>673</v>
      </c>
      <c r="C135" s="104" t="s">
        <v>1186</v>
      </c>
      <c r="D135" s="104">
        <v>0</v>
      </c>
    </row>
    <row r="136" spans="1:4" ht="27.6" x14ac:dyDescent="0.25">
      <c r="A136" s="109" t="s">
        <v>393</v>
      </c>
      <c r="B136" s="2" t="s">
        <v>266</v>
      </c>
      <c r="C136" s="104" t="s">
        <v>1201</v>
      </c>
      <c r="D136" s="104">
        <v>0</v>
      </c>
    </row>
    <row r="137" spans="1:4" ht="27.6" x14ac:dyDescent="0.25">
      <c r="A137" s="109" t="s">
        <v>394</v>
      </c>
      <c r="B137" s="2" t="s">
        <v>674</v>
      </c>
      <c r="C137" s="104" t="s">
        <v>1196</v>
      </c>
      <c r="D137" s="104">
        <v>0</v>
      </c>
    </row>
    <row r="138" spans="1:4" ht="27.6" x14ac:dyDescent="0.25">
      <c r="A138" s="109" t="s">
        <v>395</v>
      </c>
      <c r="B138" s="2" t="s">
        <v>675</v>
      </c>
      <c r="C138" s="104" t="s">
        <v>1191</v>
      </c>
      <c r="D138" s="104">
        <v>0</v>
      </c>
    </row>
    <row r="139" spans="1:4" x14ac:dyDescent="0.25">
      <c r="A139" s="109" t="s">
        <v>396</v>
      </c>
      <c r="B139" s="2" t="s">
        <v>676</v>
      </c>
      <c r="C139" s="104" t="s">
        <v>1183</v>
      </c>
      <c r="D139" s="104" t="s">
        <v>1178</v>
      </c>
    </row>
    <row r="140" spans="1:4" ht="27.6" x14ac:dyDescent="0.25">
      <c r="A140" s="109" t="s">
        <v>397</v>
      </c>
      <c r="B140" s="2" t="s">
        <v>677</v>
      </c>
      <c r="C140" s="104" t="s">
        <v>1196</v>
      </c>
      <c r="D140" s="104">
        <v>0</v>
      </c>
    </row>
    <row r="141" spans="1:4" x14ac:dyDescent="0.25">
      <c r="A141" s="109" t="s">
        <v>398</v>
      </c>
      <c r="B141" s="2" t="s">
        <v>678</v>
      </c>
      <c r="C141" s="104" t="s">
        <v>1201</v>
      </c>
      <c r="D141" s="104" t="s">
        <v>1178</v>
      </c>
    </row>
    <row r="142" spans="1:4" x14ac:dyDescent="0.25">
      <c r="A142" s="109" t="s">
        <v>399</v>
      </c>
      <c r="B142" s="2" t="s">
        <v>679</v>
      </c>
      <c r="C142" s="104" t="s">
        <v>1182</v>
      </c>
      <c r="D142" s="104">
        <v>0</v>
      </c>
    </row>
    <row r="143" spans="1:4" x14ac:dyDescent="0.25">
      <c r="A143" s="109" t="s">
        <v>400</v>
      </c>
      <c r="B143" s="2" t="s">
        <v>680</v>
      </c>
      <c r="C143" s="104" t="s">
        <v>1196</v>
      </c>
      <c r="D143" s="104">
        <v>0</v>
      </c>
    </row>
    <row r="144" spans="1:4" x14ac:dyDescent="0.25">
      <c r="A144" s="109" t="s">
        <v>401</v>
      </c>
      <c r="B144" s="2" t="s">
        <v>681</v>
      </c>
      <c r="C144" s="104" t="s">
        <v>1182</v>
      </c>
      <c r="D144" s="104" t="s">
        <v>1185</v>
      </c>
    </row>
    <row r="145" spans="1:4" x14ac:dyDescent="0.25">
      <c r="A145" s="109" t="s">
        <v>402</v>
      </c>
      <c r="B145" s="2" t="s">
        <v>682</v>
      </c>
      <c r="C145" s="104" t="s">
        <v>1182</v>
      </c>
      <c r="D145" s="104">
        <v>0</v>
      </c>
    </row>
    <row r="146" spans="1:4" ht="27.6" x14ac:dyDescent="0.25">
      <c r="A146" s="109" t="s">
        <v>403</v>
      </c>
      <c r="B146" s="2" t="s">
        <v>683</v>
      </c>
      <c r="C146" s="104" t="s">
        <v>1182</v>
      </c>
      <c r="D146" s="104">
        <v>0</v>
      </c>
    </row>
    <row r="147" spans="1:4" ht="27.6" x14ac:dyDescent="0.25">
      <c r="A147" s="109" t="s">
        <v>404</v>
      </c>
      <c r="B147" s="2" t="s">
        <v>684</v>
      </c>
      <c r="C147" s="104" t="s">
        <v>1186</v>
      </c>
      <c r="D147" s="104">
        <v>0</v>
      </c>
    </row>
    <row r="148" spans="1:4" ht="27.6" x14ac:dyDescent="0.25">
      <c r="A148" s="109" t="s">
        <v>405</v>
      </c>
      <c r="B148" s="2" t="s">
        <v>685</v>
      </c>
      <c r="C148" s="104" t="s">
        <v>1189</v>
      </c>
      <c r="D148" s="104">
        <v>0</v>
      </c>
    </row>
    <row r="149" spans="1:4" ht="27.6" x14ac:dyDescent="0.25">
      <c r="A149" s="109" t="s">
        <v>406</v>
      </c>
      <c r="B149" s="2" t="s">
        <v>686</v>
      </c>
      <c r="C149" s="104" t="s">
        <v>1182</v>
      </c>
      <c r="D149" s="104">
        <v>0</v>
      </c>
    </row>
    <row r="150" spans="1:4" ht="27.6" x14ac:dyDescent="0.25">
      <c r="A150" s="109" t="s">
        <v>407</v>
      </c>
      <c r="B150" s="2" t="s">
        <v>687</v>
      </c>
      <c r="C150" s="104" t="s">
        <v>1202</v>
      </c>
      <c r="D150" s="104">
        <v>0</v>
      </c>
    </row>
    <row r="151" spans="1:4" x14ac:dyDescent="0.25">
      <c r="A151" s="109" t="s">
        <v>408</v>
      </c>
      <c r="B151" s="2" t="s">
        <v>688</v>
      </c>
      <c r="C151" s="104" t="s">
        <v>1189</v>
      </c>
      <c r="D151" s="104">
        <v>0</v>
      </c>
    </row>
    <row r="152" spans="1:4" ht="27.6" x14ac:dyDescent="0.25">
      <c r="A152" s="109" t="s">
        <v>409</v>
      </c>
      <c r="B152" s="2" t="s">
        <v>689</v>
      </c>
      <c r="C152" s="104" t="s">
        <v>1182</v>
      </c>
      <c r="D152" s="104" t="s">
        <v>1180</v>
      </c>
    </row>
    <row r="153" spans="1:4" x14ac:dyDescent="0.25">
      <c r="A153" s="109" t="s">
        <v>410</v>
      </c>
      <c r="B153" s="2" t="s">
        <v>690</v>
      </c>
      <c r="C153" s="104" t="s">
        <v>1186</v>
      </c>
      <c r="D153" s="104">
        <v>0</v>
      </c>
    </row>
    <row r="154" spans="1:4" ht="27.6" x14ac:dyDescent="0.25">
      <c r="A154" s="109" t="s">
        <v>411</v>
      </c>
      <c r="B154" s="2" t="s">
        <v>691</v>
      </c>
      <c r="C154" s="104" t="s">
        <v>1200</v>
      </c>
      <c r="D154" s="104" t="s">
        <v>1186</v>
      </c>
    </row>
    <row r="155" spans="1:4" x14ac:dyDescent="0.25">
      <c r="A155" s="109" t="s">
        <v>412</v>
      </c>
      <c r="B155" s="2" t="s">
        <v>692</v>
      </c>
      <c r="C155" s="104" t="s">
        <v>1189</v>
      </c>
      <c r="D155" s="104">
        <v>0</v>
      </c>
    </row>
    <row r="156" spans="1:4" ht="27.6" x14ac:dyDescent="0.25">
      <c r="A156" s="109" t="s">
        <v>413</v>
      </c>
      <c r="B156" s="2" t="s">
        <v>693</v>
      </c>
      <c r="C156" s="104" t="s">
        <v>1191</v>
      </c>
      <c r="D156" s="104">
        <v>0</v>
      </c>
    </row>
    <row r="157" spans="1:4" ht="27.6" x14ac:dyDescent="0.25">
      <c r="A157" s="109" t="s">
        <v>414</v>
      </c>
      <c r="B157" s="2" t="s">
        <v>694</v>
      </c>
      <c r="C157" s="104">
        <v>0</v>
      </c>
      <c r="D157" s="104">
        <v>0</v>
      </c>
    </row>
    <row r="158" spans="1:4" x14ac:dyDescent="0.25">
      <c r="A158" s="109" t="s">
        <v>415</v>
      </c>
      <c r="B158" s="2" t="s">
        <v>695</v>
      </c>
      <c r="C158" s="104" t="s">
        <v>1186</v>
      </c>
      <c r="D158" s="104">
        <v>0</v>
      </c>
    </row>
    <row r="159" spans="1:4" ht="27.6" x14ac:dyDescent="0.25">
      <c r="A159" s="109" t="s">
        <v>416</v>
      </c>
      <c r="B159" s="2" t="s">
        <v>696</v>
      </c>
      <c r="C159" s="104" t="s">
        <v>1191</v>
      </c>
      <c r="D159" s="104">
        <v>0</v>
      </c>
    </row>
    <row r="160" spans="1:4" ht="27.6" x14ac:dyDescent="0.25">
      <c r="A160" s="109" t="s">
        <v>417</v>
      </c>
      <c r="B160" s="2" t="s">
        <v>697</v>
      </c>
      <c r="C160" s="104" t="s">
        <v>1189</v>
      </c>
      <c r="D160" s="104">
        <v>0</v>
      </c>
    </row>
    <row r="161" spans="1:4" ht="27.6" x14ac:dyDescent="0.25">
      <c r="A161" s="109" t="s">
        <v>418</v>
      </c>
      <c r="B161" s="2" t="s">
        <v>698</v>
      </c>
      <c r="C161" s="104" t="s">
        <v>1182</v>
      </c>
      <c r="D161" s="104">
        <v>0</v>
      </c>
    </row>
    <row r="162" spans="1:4" ht="27.6" x14ac:dyDescent="0.25">
      <c r="A162" s="109" t="s">
        <v>419</v>
      </c>
      <c r="B162" s="2" t="s">
        <v>699</v>
      </c>
      <c r="C162" s="104" t="s">
        <v>1189</v>
      </c>
      <c r="D162" s="104">
        <v>0</v>
      </c>
    </row>
    <row r="163" spans="1:4" ht="27.6" x14ac:dyDescent="0.25">
      <c r="A163" s="109" t="s">
        <v>420</v>
      </c>
      <c r="B163" s="2" t="s">
        <v>700</v>
      </c>
      <c r="C163" s="104" t="s">
        <v>1182</v>
      </c>
      <c r="D163" s="104">
        <v>0</v>
      </c>
    </row>
    <row r="164" spans="1:4" x14ac:dyDescent="0.25">
      <c r="A164" s="109" t="s">
        <v>421</v>
      </c>
      <c r="B164" s="2" t="s">
        <v>701</v>
      </c>
      <c r="C164" s="104">
        <v>0</v>
      </c>
      <c r="D164" s="104">
        <v>0</v>
      </c>
    </row>
    <row r="165" spans="1:4" ht="27.6" x14ac:dyDescent="0.25">
      <c r="A165" s="109" t="s">
        <v>422</v>
      </c>
      <c r="B165" s="2" t="s">
        <v>702</v>
      </c>
      <c r="C165" s="104" t="s">
        <v>1189</v>
      </c>
      <c r="D165" s="104">
        <v>0</v>
      </c>
    </row>
    <row r="166" spans="1:4" ht="27.6" x14ac:dyDescent="0.25">
      <c r="A166" s="109" t="s">
        <v>423</v>
      </c>
      <c r="B166" s="2" t="s">
        <v>703</v>
      </c>
      <c r="C166" s="104" t="s">
        <v>1189</v>
      </c>
      <c r="D166" s="104">
        <v>0</v>
      </c>
    </row>
    <row r="167" spans="1:4" ht="27.6" x14ac:dyDescent="0.25">
      <c r="A167" s="109" t="s">
        <v>424</v>
      </c>
      <c r="B167" s="2" t="s">
        <v>704</v>
      </c>
      <c r="C167" s="104" t="s">
        <v>1202</v>
      </c>
      <c r="D167" s="104">
        <v>0</v>
      </c>
    </row>
    <row r="168" spans="1:4" x14ac:dyDescent="0.25">
      <c r="A168" s="109" t="s">
        <v>425</v>
      </c>
      <c r="B168" s="2" t="s">
        <v>705</v>
      </c>
      <c r="C168" s="104">
        <v>0</v>
      </c>
      <c r="D168" s="104">
        <v>0</v>
      </c>
    </row>
    <row r="169" spans="1:4" ht="27.6" x14ac:dyDescent="0.25">
      <c r="A169" s="109" t="s">
        <v>426</v>
      </c>
      <c r="B169" s="2" t="s">
        <v>706</v>
      </c>
      <c r="C169" s="104" t="s">
        <v>1189</v>
      </c>
      <c r="D169" s="104">
        <v>0</v>
      </c>
    </row>
    <row r="170" spans="1:4" ht="27.6" x14ac:dyDescent="0.25">
      <c r="A170" s="109" t="s">
        <v>427</v>
      </c>
      <c r="B170" s="2" t="s">
        <v>707</v>
      </c>
      <c r="C170" s="104" t="s">
        <v>1189</v>
      </c>
      <c r="D170" s="104">
        <v>0</v>
      </c>
    </row>
    <row r="171" spans="1:4" ht="27.6" x14ac:dyDescent="0.25">
      <c r="A171" s="109" t="s">
        <v>428</v>
      </c>
      <c r="B171" s="2" t="s">
        <v>708</v>
      </c>
      <c r="C171" s="104">
        <v>0</v>
      </c>
      <c r="D171" s="104">
        <v>0</v>
      </c>
    </row>
    <row r="172" spans="1:4" x14ac:dyDescent="0.25">
      <c r="A172" s="109" t="s">
        <v>429</v>
      </c>
      <c r="B172" s="2" t="s">
        <v>709</v>
      </c>
      <c r="C172" s="104" t="s">
        <v>1189</v>
      </c>
      <c r="D172" s="104">
        <v>0</v>
      </c>
    </row>
    <row r="173" spans="1:4" ht="27.6" x14ac:dyDescent="0.25">
      <c r="A173" s="109" t="s">
        <v>430</v>
      </c>
      <c r="B173" s="2" t="s">
        <v>710</v>
      </c>
      <c r="C173" s="104">
        <v>0</v>
      </c>
      <c r="D173" s="104">
        <v>0</v>
      </c>
    </row>
    <row r="174" spans="1:4" x14ac:dyDescent="0.25">
      <c r="A174" s="109" t="s">
        <v>431</v>
      </c>
      <c r="B174" s="2" t="s">
        <v>711</v>
      </c>
      <c r="C174" s="104" t="s">
        <v>1186</v>
      </c>
      <c r="D174" s="104">
        <v>0</v>
      </c>
    </row>
    <row r="175" spans="1:4" x14ac:dyDescent="0.25">
      <c r="A175" s="109" t="s">
        <v>432</v>
      </c>
      <c r="B175" s="2" t="s">
        <v>712</v>
      </c>
      <c r="C175" s="104" t="s">
        <v>1178</v>
      </c>
      <c r="D175" s="104" t="s">
        <v>1179</v>
      </c>
    </row>
    <row r="176" spans="1:4" ht="27.6" x14ac:dyDescent="0.25">
      <c r="A176" s="109" t="s">
        <v>433</v>
      </c>
      <c r="B176" s="2" t="s">
        <v>713</v>
      </c>
      <c r="C176" s="104">
        <v>0</v>
      </c>
      <c r="D176" s="104">
        <v>0</v>
      </c>
    </row>
    <row r="177" spans="1:4" ht="27.6" x14ac:dyDescent="0.25">
      <c r="A177" s="109" t="s">
        <v>434</v>
      </c>
      <c r="B177" s="2" t="s">
        <v>714</v>
      </c>
      <c r="C177" s="104" t="s">
        <v>1195</v>
      </c>
      <c r="D177" s="104">
        <v>0</v>
      </c>
    </row>
    <row r="178" spans="1:4" ht="27.6" x14ac:dyDescent="0.25">
      <c r="A178" s="109" t="s">
        <v>435</v>
      </c>
      <c r="B178" s="2" t="s">
        <v>715</v>
      </c>
      <c r="C178" s="104" t="s">
        <v>1191</v>
      </c>
      <c r="D178" s="104">
        <v>0</v>
      </c>
    </row>
    <row r="179" spans="1:4" ht="27.6" x14ac:dyDescent="0.25">
      <c r="A179" s="109" t="s">
        <v>436</v>
      </c>
      <c r="B179" s="2" t="s">
        <v>716</v>
      </c>
      <c r="C179" s="104" t="s">
        <v>1195</v>
      </c>
      <c r="D179" s="104">
        <v>0</v>
      </c>
    </row>
    <row r="180" spans="1:4" ht="27.6" x14ac:dyDescent="0.25">
      <c r="A180" s="109" t="s">
        <v>437</v>
      </c>
      <c r="B180" s="2" t="s">
        <v>717</v>
      </c>
      <c r="C180" s="104" t="s">
        <v>1191</v>
      </c>
      <c r="D180" s="104">
        <v>0</v>
      </c>
    </row>
    <row r="181" spans="1:4" ht="27.6" x14ac:dyDescent="0.25">
      <c r="A181" s="109" t="s">
        <v>438</v>
      </c>
      <c r="B181" s="2" t="s">
        <v>718</v>
      </c>
      <c r="C181" s="104" t="s">
        <v>1186</v>
      </c>
      <c r="D181" s="104">
        <v>0</v>
      </c>
    </row>
    <row r="182" spans="1:4" x14ac:dyDescent="0.25">
      <c r="A182" s="109" t="s">
        <v>439</v>
      </c>
      <c r="B182" s="2" t="s">
        <v>719</v>
      </c>
      <c r="C182" s="104" t="s">
        <v>1195</v>
      </c>
      <c r="D182" s="104">
        <v>0</v>
      </c>
    </row>
    <row r="183" spans="1:4" ht="27.6" x14ac:dyDescent="0.25">
      <c r="A183" s="109" t="s">
        <v>440</v>
      </c>
      <c r="B183" s="2" t="s">
        <v>720</v>
      </c>
      <c r="C183" s="104" t="s">
        <v>1186</v>
      </c>
      <c r="D183" s="104">
        <v>0</v>
      </c>
    </row>
    <row r="184" spans="1:4" ht="41.4" x14ac:dyDescent="0.25">
      <c r="A184" s="109" t="s">
        <v>441</v>
      </c>
      <c r="B184" s="2" t="s">
        <v>721</v>
      </c>
      <c r="C184" s="104" t="s">
        <v>1191</v>
      </c>
      <c r="D184" s="104">
        <v>0</v>
      </c>
    </row>
    <row r="185" spans="1:4" ht="27.6" x14ac:dyDescent="0.25">
      <c r="A185" s="109" t="s">
        <v>442</v>
      </c>
      <c r="B185" s="2" t="s">
        <v>722</v>
      </c>
      <c r="C185" s="104" t="s">
        <v>1186</v>
      </c>
      <c r="D185" s="104">
        <v>0</v>
      </c>
    </row>
    <row r="186" spans="1:4" ht="27.6" x14ac:dyDescent="0.25">
      <c r="A186" s="109" t="s">
        <v>443</v>
      </c>
      <c r="B186" s="2" t="s">
        <v>723</v>
      </c>
      <c r="C186" s="104" t="s">
        <v>1190</v>
      </c>
      <c r="D186" s="104">
        <v>0</v>
      </c>
    </row>
    <row r="187" spans="1:4" x14ac:dyDescent="0.25">
      <c r="A187" s="109" t="s">
        <v>444</v>
      </c>
      <c r="B187" s="2" t="s">
        <v>724</v>
      </c>
      <c r="C187" s="104" t="s">
        <v>1198</v>
      </c>
      <c r="D187" s="104">
        <v>0</v>
      </c>
    </row>
    <row r="188" spans="1:4" ht="27.6" x14ac:dyDescent="0.25">
      <c r="A188" s="109" t="s">
        <v>445</v>
      </c>
      <c r="B188" s="2" t="s">
        <v>725</v>
      </c>
      <c r="C188" s="104" t="s">
        <v>1189</v>
      </c>
      <c r="D188" s="104">
        <v>0</v>
      </c>
    </row>
    <row r="189" spans="1:4" ht="27.6" x14ac:dyDescent="0.25">
      <c r="A189" s="109" t="s">
        <v>446</v>
      </c>
      <c r="B189" s="2" t="s">
        <v>726</v>
      </c>
      <c r="C189" s="104" t="s">
        <v>1195</v>
      </c>
      <c r="D189" s="104">
        <v>0</v>
      </c>
    </row>
    <row r="190" spans="1:4" x14ac:dyDescent="0.25">
      <c r="A190" s="109" t="s">
        <v>447</v>
      </c>
      <c r="B190" s="2" t="s">
        <v>727</v>
      </c>
      <c r="C190" s="104">
        <v>0</v>
      </c>
      <c r="D190" s="104">
        <v>0</v>
      </c>
    </row>
    <row r="191" spans="1:4" x14ac:dyDescent="0.25">
      <c r="A191" s="109" t="s">
        <v>448</v>
      </c>
      <c r="B191" s="2" t="s">
        <v>728</v>
      </c>
      <c r="C191" s="104" t="s">
        <v>1190</v>
      </c>
      <c r="D191" s="104">
        <v>0</v>
      </c>
    </row>
    <row r="192" spans="1:4" ht="27.6" x14ac:dyDescent="0.25">
      <c r="A192" s="109" t="s">
        <v>449</v>
      </c>
      <c r="B192" s="2" t="s">
        <v>729</v>
      </c>
      <c r="C192" s="104" t="s">
        <v>1186</v>
      </c>
      <c r="D192" s="104">
        <v>0</v>
      </c>
    </row>
    <row r="193" spans="1:4" ht="27.6" x14ac:dyDescent="0.25">
      <c r="A193" s="109" t="s">
        <v>450</v>
      </c>
      <c r="B193" s="2" t="s">
        <v>730</v>
      </c>
      <c r="C193" s="104" t="s">
        <v>1191</v>
      </c>
      <c r="D193" s="104">
        <v>0</v>
      </c>
    </row>
    <row r="194" spans="1:4" x14ac:dyDescent="0.25">
      <c r="A194" s="109" t="s">
        <v>451</v>
      </c>
      <c r="B194" s="2" t="s">
        <v>731</v>
      </c>
      <c r="C194" s="104" t="s">
        <v>1186</v>
      </c>
      <c r="D194" s="104">
        <v>0</v>
      </c>
    </row>
    <row r="195" spans="1:4" ht="27.6" x14ac:dyDescent="0.25">
      <c r="A195" s="109" t="s">
        <v>452</v>
      </c>
      <c r="B195" s="2" t="s">
        <v>732</v>
      </c>
      <c r="C195" s="104" t="s">
        <v>1186</v>
      </c>
      <c r="D195" s="104">
        <v>0</v>
      </c>
    </row>
    <row r="196" spans="1:4" ht="27.6" x14ac:dyDescent="0.25">
      <c r="A196" s="109" t="s">
        <v>453</v>
      </c>
      <c r="B196" s="2" t="s">
        <v>733</v>
      </c>
      <c r="C196" s="104" t="s">
        <v>1186</v>
      </c>
      <c r="D196" s="104">
        <v>0</v>
      </c>
    </row>
    <row r="197" spans="1:4" ht="27.6" x14ac:dyDescent="0.25">
      <c r="A197" s="109" t="s">
        <v>454</v>
      </c>
      <c r="B197" s="2" t="s">
        <v>734</v>
      </c>
      <c r="C197" s="104" t="s">
        <v>1186</v>
      </c>
      <c r="D197" s="104">
        <v>0</v>
      </c>
    </row>
    <row r="198" spans="1:4" x14ac:dyDescent="0.25">
      <c r="A198" s="109" t="s">
        <v>455</v>
      </c>
      <c r="B198" s="2" t="s">
        <v>735</v>
      </c>
      <c r="C198" s="104">
        <v>0</v>
      </c>
      <c r="D198" s="104">
        <v>0</v>
      </c>
    </row>
    <row r="199" spans="1:4" x14ac:dyDescent="0.25">
      <c r="A199" s="109" t="s">
        <v>456</v>
      </c>
      <c r="B199" s="2" t="s">
        <v>736</v>
      </c>
      <c r="C199" s="104" t="s">
        <v>1186</v>
      </c>
      <c r="D199" s="104">
        <v>0</v>
      </c>
    </row>
    <row r="200" spans="1:4" x14ac:dyDescent="0.25">
      <c r="A200" s="109" t="s">
        <v>457</v>
      </c>
      <c r="B200" s="2" t="s">
        <v>737</v>
      </c>
      <c r="C200" s="104" t="s">
        <v>1186</v>
      </c>
      <c r="D200" s="104">
        <v>0</v>
      </c>
    </row>
    <row r="201" spans="1:4" ht="27.6" x14ac:dyDescent="0.25">
      <c r="A201" s="109" t="s">
        <v>458</v>
      </c>
      <c r="B201" s="2" t="s">
        <v>738</v>
      </c>
      <c r="C201" s="104" t="s">
        <v>1195</v>
      </c>
      <c r="D201" s="104">
        <v>0</v>
      </c>
    </row>
    <row r="202" spans="1:4" ht="27.6" x14ac:dyDescent="0.25">
      <c r="A202" s="109" t="s">
        <v>459</v>
      </c>
      <c r="B202" s="2" t="s">
        <v>278</v>
      </c>
      <c r="C202" s="104" t="s">
        <v>1198</v>
      </c>
      <c r="D202" s="104">
        <v>0</v>
      </c>
    </row>
    <row r="203" spans="1:4" x14ac:dyDescent="0.25">
      <c r="A203" s="109" t="s">
        <v>460</v>
      </c>
      <c r="B203" s="2" t="s">
        <v>739</v>
      </c>
      <c r="C203" s="104" t="s">
        <v>1195</v>
      </c>
      <c r="D203" s="104">
        <v>0</v>
      </c>
    </row>
    <row r="204" spans="1:4" ht="27.6" x14ac:dyDescent="0.25">
      <c r="A204" s="109" t="s">
        <v>461</v>
      </c>
      <c r="B204" s="2" t="s">
        <v>740</v>
      </c>
      <c r="C204" s="104" t="s">
        <v>1195</v>
      </c>
      <c r="D204" s="104">
        <v>0</v>
      </c>
    </row>
    <row r="205" spans="1:4" x14ac:dyDescent="0.25">
      <c r="A205" s="109" t="s">
        <v>462</v>
      </c>
      <c r="B205" s="2" t="s">
        <v>741</v>
      </c>
      <c r="C205" s="104" t="s">
        <v>1186</v>
      </c>
      <c r="D205" s="104">
        <v>0</v>
      </c>
    </row>
    <row r="206" spans="1:4" x14ac:dyDescent="0.25">
      <c r="A206" s="109" t="s">
        <v>463</v>
      </c>
      <c r="B206" s="2" t="s">
        <v>742</v>
      </c>
      <c r="C206" s="104" t="s">
        <v>1186</v>
      </c>
      <c r="D206" s="104">
        <v>0</v>
      </c>
    </row>
    <row r="207" spans="1:4" ht="27.6" x14ac:dyDescent="0.25">
      <c r="A207" s="109" t="s">
        <v>464</v>
      </c>
      <c r="B207" s="2" t="s">
        <v>743</v>
      </c>
      <c r="C207" s="104" t="s">
        <v>1186</v>
      </c>
      <c r="D207" s="104">
        <v>0</v>
      </c>
    </row>
    <row r="208" spans="1:4" ht="41.4" x14ac:dyDescent="0.25">
      <c r="A208" s="109" t="s">
        <v>465</v>
      </c>
      <c r="B208" s="2" t="s">
        <v>744</v>
      </c>
      <c r="C208" s="104" t="s">
        <v>1186</v>
      </c>
      <c r="D208" s="104">
        <v>0</v>
      </c>
    </row>
    <row r="209" spans="1:4" x14ac:dyDescent="0.25">
      <c r="A209" s="109" t="s">
        <v>466</v>
      </c>
      <c r="B209" s="2" t="s">
        <v>745</v>
      </c>
      <c r="C209" s="104">
        <v>0</v>
      </c>
      <c r="D209" s="104">
        <v>0</v>
      </c>
    </row>
    <row r="210" spans="1:4" ht="27.6" x14ac:dyDescent="0.25">
      <c r="A210" s="109" t="s">
        <v>467</v>
      </c>
      <c r="B210" s="2" t="s">
        <v>746</v>
      </c>
      <c r="C210" s="104" t="s">
        <v>1195</v>
      </c>
      <c r="D210" s="104">
        <v>0</v>
      </c>
    </row>
    <row r="211" spans="1:4" ht="27.6" x14ac:dyDescent="0.25">
      <c r="A211" s="109" t="s">
        <v>468</v>
      </c>
      <c r="B211" s="2" t="s">
        <v>747</v>
      </c>
      <c r="C211" s="104" t="s">
        <v>1190</v>
      </c>
      <c r="D211" s="104">
        <v>0</v>
      </c>
    </row>
    <row r="212" spans="1:4" ht="27.6" x14ac:dyDescent="0.25">
      <c r="A212" s="109" t="s">
        <v>469</v>
      </c>
      <c r="B212" s="2" t="s">
        <v>748</v>
      </c>
      <c r="C212" s="104" t="s">
        <v>1186</v>
      </c>
      <c r="D212" s="104">
        <v>0</v>
      </c>
    </row>
    <row r="213" spans="1:4" ht="27.6" x14ac:dyDescent="0.25">
      <c r="A213" s="109" t="s">
        <v>470</v>
      </c>
      <c r="B213" s="2" t="s">
        <v>749</v>
      </c>
      <c r="C213" s="104">
        <v>0</v>
      </c>
      <c r="D213" s="104">
        <v>0</v>
      </c>
    </row>
    <row r="214" spans="1:4" ht="27.6" x14ac:dyDescent="0.25">
      <c r="A214" s="109" t="s">
        <v>471</v>
      </c>
      <c r="B214" s="2" t="s">
        <v>750</v>
      </c>
      <c r="C214" s="104" t="s">
        <v>1195</v>
      </c>
      <c r="D214" s="104">
        <v>0</v>
      </c>
    </row>
    <row r="215" spans="1:4" ht="27.6" x14ac:dyDescent="0.25">
      <c r="A215" s="109" t="s">
        <v>472</v>
      </c>
      <c r="B215" s="2" t="s">
        <v>751</v>
      </c>
      <c r="C215" s="104">
        <v>0</v>
      </c>
      <c r="D215" s="104">
        <v>0</v>
      </c>
    </row>
    <row r="216" spans="1:4" ht="27.6" x14ac:dyDescent="0.25">
      <c r="A216" s="109" t="s">
        <v>473</v>
      </c>
      <c r="B216" s="2" t="s">
        <v>752</v>
      </c>
      <c r="C216" s="104" t="s">
        <v>1190</v>
      </c>
      <c r="D216" s="104">
        <v>0</v>
      </c>
    </row>
    <row r="217" spans="1:4" ht="27.6" x14ac:dyDescent="0.25">
      <c r="A217" s="109" t="s">
        <v>474</v>
      </c>
      <c r="B217" s="2" t="s">
        <v>753</v>
      </c>
      <c r="C217" s="104">
        <v>0</v>
      </c>
      <c r="D217" s="104">
        <v>0</v>
      </c>
    </row>
    <row r="218" spans="1:4" ht="27.6" x14ac:dyDescent="0.25">
      <c r="A218" s="109" t="s">
        <v>475</v>
      </c>
      <c r="B218" s="2" t="s">
        <v>754</v>
      </c>
      <c r="C218" s="104" t="s">
        <v>1195</v>
      </c>
      <c r="D218" s="104">
        <v>0</v>
      </c>
    </row>
    <row r="219" spans="1:4" ht="27.6" x14ac:dyDescent="0.25">
      <c r="A219" s="109" t="s">
        <v>476</v>
      </c>
      <c r="B219" s="2" t="s">
        <v>755</v>
      </c>
      <c r="C219" s="104" t="s">
        <v>1186</v>
      </c>
      <c r="D219" s="104">
        <v>0</v>
      </c>
    </row>
    <row r="220" spans="1:4" ht="27.6" x14ac:dyDescent="0.25">
      <c r="A220" s="109" t="s">
        <v>477</v>
      </c>
      <c r="B220" s="2" t="s">
        <v>756</v>
      </c>
      <c r="C220" s="104">
        <v>0</v>
      </c>
      <c r="D220" s="104">
        <v>0</v>
      </c>
    </row>
    <row r="221" spans="1:4" ht="27.6" x14ac:dyDescent="0.25">
      <c r="A221" s="109" t="s">
        <v>478</v>
      </c>
      <c r="B221" s="2" t="s">
        <v>757</v>
      </c>
      <c r="C221" s="104">
        <v>0</v>
      </c>
      <c r="D221" s="104">
        <v>0</v>
      </c>
    </row>
    <row r="222" spans="1:4" ht="27.6" x14ac:dyDescent="0.25">
      <c r="A222" s="109" t="s">
        <v>479</v>
      </c>
      <c r="B222" s="2" t="s">
        <v>758</v>
      </c>
      <c r="C222" s="104" t="s">
        <v>1195</v>
      </c>
      <c r="D222" s="104">
        <v>0</v>
      </c>
    </row>
    <row r="223" spans="1:4" x14ac:dyDescent="0.25">
      <c r="A223" s="109" t="s">
        <v>480</v>
      </c>
      <c r="B223" s="2" t="s">
        <v>759</v>
      </c>
      <c r="C223" s="104" t="s">
        <v>1198</v>
      </c>
      <c r="D223" s="104" t="s">
        <v>1187</v>
      </c>
    </row>
    <row r="224" spans="1:4" ht="27.6" x14ac:dyDescent="0.25">
      <c r="A224" s="109" t="s">
        <v>481</v>
      </c>
      <c r="B224" s="2" t="s">
        <v>760</v>
      </c>
      <c r="C224" s="104">
        <v>0</v>
      </c>
      <c r="D224" s="104">
        <v>0</v>
      </c>
    </row>
    <row r="225" spans="1:4" x14ac:dyDescent="0.25">
      <c r="A225" s="109" t="s">
        <v>482</v>
      </c>
      <c r="B225" s="2" t="s">
        <v>761</v>
      </c>
      <c r="C225" s="104" t="s">
        <v>1189</v>
      </c>
      <c r="D225" s="104">
        <v>0</v>
      </c>
    </row>
    <row r="226" spans="1:4" ht="27.6" x14ac:dyDescent="0.25">
      <c r="A226" s="109" t="s">
        <v>483</v>
      </c>
      <c r="B226" s="2" t="s">
        <v>762</v>
      </c>
      <c r="C226" s="104" t="s">
        <v>1190</v>
      </c>
      <c r="D226" s="104">
        <v>0</v>
      </c>
    </row>
    <row r="227" spans="1:4" ht="27.6" x14ac:dyDescent="0.25">
      <c r="A227" s="109" t="s">
        <v>484</v>
      </c>
      <c r="B227" s="2" t="s">
        <v>763</v>
      </c>
      <c r="C227" s="104">
        <v>0</v>
      </c>
      <c r="D227" s="104">
        <v>0</v>
      </c>
    </row>
    <row r="228" spans="1:4" ht="27.6" x14ac:dyDescent="0.25">
      <c r="A228" s="109" t="s">
        <v>485</v>
      </c>
      <c r="B228" s="2" t="s">
        <v>764</v>
      </c>
      <c r="C228" s="104">
        <v>0</v>
      </c>
      <c r="D228" s="104">
        <v>0</v>
      </c>
    </row>
    <row r="229" spans="1:4" x14ac:dyDescent="0.25">
      <c r="A229" s="109" t="s">
        <v>486</v>
      </c>
      <c r="B229" s="2" t="s">
        <v>765</v>
      </c>
      <c r="C229" s="104" t="s">
        <v>1195</v>
      </c>
      <c r="D229" s="104">
        <v>0</v>
      </c>
    </row>
    <row r="230" spans="1:4" ht="27.6" x14ac:dyDescent="0.25">
      <c r="A230" s="109" t="s">
        <v>487</v>
      </c>
      <c r="B230" s="2" t="s">
        <v>766</v>
      </c>
      <c r="C230" s="104" t="s">
        <v>1186</v>
      </c>
      <c r="D230" s="104">
        <v>0</v>
      </c>
    </row>
    <row r="231" spans="1:4" ht="27.6" x14ac:dyDescent="0.25">
      <c r="A231" s="109" t="s">
        <v>488</v>
      </c>
      <c r="B231" s="2" t="s">
        <v>767</v>
      </c>
      <c r="C231" s="104">
        <v>0</v>
      </c>
      <c r="D231" s="104">
        <v>0</v>
      </c>
    </row>
    <row r="232" spans="1:4" ht="27.6" x14ac:dyDescent="0.25">
      <c r="A232" s="109" t="s">
        <v>489</v>
      </c>
      <c r="B232" s="2" t="s">
        <v>768</v>
      </c>
      <c r="C232" s="104" t="s">
        <v>1195</v>
      </c>
      <c r="D232" s="104">
        <v>0</v>
      </c>
    </row>
    <row r="233" spans="1:4" ht="27.6" x14ac:dyDescent="0.25">
      <c r="A233" s="109" t="s">
        <v>490</v>
      </c>
      <c r="B233" s="2" t="s">
        <v>769</v>
      </c>
      <c r="C233" s="104" t="s">
        <v>1195</v>
      </c>
      <c r="D233" s="104">
        <v>0</v>
      </c>
    </row>
    <row r="234" spans="1:4" ht="27.6" x14ac:dyDescent="0.25">
      <c r="A234" s="109" t="s">
        <v>491</v>
      </c>
      <c r="B234" s="2" t="s">
        <v>770</v>
      </c>
      <c r="C234" s="104" t="s">
        <v>1195</v>
      </c>
      <c r="D234" s="104">
        <v>0</v>
      </c>
    </row>
    <row r="235" spans="1:4" ht="27.6" x14ac:dyDescent="0.25">
      <c r="A235" s="109" t="s">
        <v>492</v>
      </c>
      <c r="B235" s="2" t="s">
        <v>771</v>
      </c>
      <c r="C235" s="104" t="s">
        <v>1190</v>
      </c>
      <c r="D235" s="104">
        <v>0</v>
      </c>
    </row>
    <row r="236" spans="1:4" x14ac:dyDescent="0.25">
      <c r="A236" s="109" t="s">
        <v>493</v>
      </c>
      <c r="B236" s="2" t="s">
        <v>772</v>
      </c>
      <c r="C236" s="104">
        <v>0</v>
      </c>
      <c r="D236" s="104">
        <v>0</v>
      </c>
    </row>
    <row r="237" spans="1:4" ht="27.6" x14ac:dyDescent="0.25">
      <c r="A237" s="109" t="s">
        <v>494</v>
      </c>
      <c r="B237" s="2" t="s">
        <v>773</v>
      </c>
      <c r="C237" s="104">
        <v>0</v>
      </c>
      <c r="D237" s="104">
        <v>0</v>
      </c>
    </row>
    <row r="238" spans="1:4" ht="41.4" x14ac:dyDescent="0.25">
      <c r="A238" s="109" t="s">
        <v>495</v>
      </c>
      <c r="B238" s="2" t="s">
        <v>774</v>
      </c>
      <c r="C238" s="104" t="s">
        <v>1195</v>
      </c>
      <c r="D238" s="104">
        <v>0</v>
      </c>
    </row>
    <row r="239" spans="1:4" x14ac:dyDescent="0.25">
      <c r="A239" s="109" t="s">
        <v>496</v>
      </c>
      <c r="B239" s="2" t="s">
        <v>775</v>
      </c>
      <c r="C239" s="104" t="s">
        <v>1195</v>
      </c>
      <c r="D239" s="104">
        <v>0</v>
      </c>
    </row>
    <row r="240" spans="1:4" x14ac:dyDescent="0.25">
      <c r="A240" s="109" t="s">
        <v>497</v>
      </c>
      <c r="B240" s="2" t="s">
        <v>776</v>
      </c>
      <c r="C240" s="104" t="s">
        <v>1195</v>
      </c>
      <c r="D240" s="104">
        <v>0</v>
      </c>
    </row>
    <row r="241" spans="1:4" x14ac:dyDescent="0.25">
      <c r="A241" s="109" t="s">
        <v>498</v>
      </c>
      <c r="B241" s="2" t="s">
        <v>777</v>
      </c>
      <c r="C241" s="104">
        <v>0</v>
      </c>
      <c r="D241" s="104">
        <v>0</v>
      </c>
    </row>
    <row r="242" spans="1:4" ht="27.6" x14ac:dyDescent="0.25">
      <c r="A242" s="109" t="s">
        <v>499</v>
      </c>
      <c r="B242" s="2" t="s">
        <v>778</v>
      </c>
      <c r="C242" s="104">
        <v>0</v>
      </c>
      <c r="D242" s="104">
        <v>0</v>
      </c>
    </row>
    <row r="243" spans="1:4" ht="27.6" x14ac:dyDescent="0.25">
      <c r="A243" s="109" t="s">
        <v>500</v>
      </c>
      <c r="B243" s="2" t="s">
        <v>779</v>
      </c>
      <c r="C243" s="104">
        <v>0</v>
      </c>
      <c r="D243" s="104">
        <v>0</v>
      </c>
    </row>
    <row r="244" spans="1:4" x14ac:dyDescent="0.25">
      <c r="A244" s="109" t="s">
        <v>501</v>
      </c>
      <c r="B244" s="2" t="s">
        <v>780</v>
      </c>
      <c r="C244" s="104" t="s">
        <v>1195</v>
      </c>
      <c r="D244" s="104">
        <v>0</v>
      </c>
    </row>
    <row r="245" spans="1:4" ht="27.6" x14ac:dyDescent="0.25">
      <c r="A245" s="109" t="s">
        <v>502</v>
      </c>
      <c r="B245" s="2" t="s">
        <v>781</v>
      </c>
      <c r="C245" s="104">
        <v>0</v>
      </c>
      <c r="D245" s="104">
        <v>0</v>
      </c>
    </row>
    <row r="246" spans="1:4" ht="27.6" x14ac:dyDescent="0.25">
      <c r="A246" s="109" t="s">
        <v>503</v>
      </c>
      <c r="B246" s="2" t="s">
        <v>782</v>
      </c>
      <c r="C246" s="104">
        <v>0</v>
      </c>
      <c r="D246" s="104">
        <v>0</v>
      </c>
    </row>
    <row r="247" spans="1:4" x14ac:dyDescent="0.25">
      <c r="A247" s="109" t="s">
        <v>504</v>
      </c>
      <c r="B247" s="2" t="s">
        <v>783</v>
      </c>
      <c r="C247" s="104" t="s">
        <v>1195</v>
      </c>
      <c r="D247" s="104">
        <v>0</v>
      </c>
    </row>
    <row r="248" spans="1:4" ht="27.6" x14ac:dyDescent="0.25">
      <c r="A248" s="109" t="s">
        <v>505</v>
      </c>
      <c r="B248" s="2" t="s">
        <v>784</v>
      </c>
      <c r="C248" s="104">
        <v>0</v>
      </c>
      <c r="D248" s="104">
        <v>0</v>
      </c>
    </row>
    <row r="249" spans="1:4" x14ac:dyDescent="0.25">
      <c r="A249" s="109" t="s">
        <v>506</v>
      </c>
      <c r="B249" s="2" t="s">
        <v>785</v>
      </c>
      <c r="C249" s="104">
        <v>0</v>
      </c>
      <c r="D249" s="104">
        <v>0</v>
      </c>
    </row>
    <row r="250" spans="1:4" ht="27.6" x14ac:dyDescent="0.25">
      <c r="A250" s="109" t="s">
        <v>507</v>
      </c>
      <c r="B250" s="2" t="s">
        <v>786</v>
      </c>
      <c r="C250" s="104" t="s">
        <v>1195</v>
      </c>
      <c r="D250" s="104">
        <v>0</v>
      </c>
    </row>
    <row r="251" spans="1:4" x14ac:dyDescent="0.25">
      <c r="A251" s="109" t="s">
        <v>508</v>
      </c>
      <c r="B251" s="2" t="s">
        <v>787</v>
      </c>
      <c r="C251" s="104" t="s">
        <v>1195</v>
      </c>
      <c r="D251" s="104">
        <v>0</v>
      </c>
    </row>
    <row r="252" spans="1:4" ht="27.6" x14ac:dyDescent="0.25">
      <c r="A252" s="109" t="s">
        <v>509</v>
      </c>
      <c r="B252" s="2" t="s">
        <v>788</v>
      </c>
      <c r="C252" s="104" t="s">
        <v>1195</v>
      </c>
      <c r="D252" s="104">
        <v>0</v>
      </c>
    </row>
    <row r="253" spans="1:4" ht="41.4" x14ac:dyDescent="0.25">
      <c r="A253" s="109" t="s">
        <v>510</v>
      </c>
      <c r="B253" s="2" t="s">
        <v>789</v>
      </c>
      <c r="C253" s="104">
        <v>0</v>
      </c>
      <c r="D253" s="104">
        <v>0</v>
      </c>
    </row>
    <row r="254" spans="1:4" ht="27.6" x14ac:dyDescent="0.25">
      <c r="A254" s="109" t="s">
        <v>511</v>
      </c>
      <c r="B254" s="2" t="s">
        <v>790</v>
      </c>
      <c r="C254" s="104" t="s">
        <v>1195</v>
      </c>
      <c r="D254" s="104">
        <v>0</v>
      </c>
    </row>
    <row r="255" spans="1:4" x14ac:dyDescent="0.25">
      <c r="A255" s="109" t="s">
        <v>512</v>
      </c>
      <c r="B255" s="2" t="s">
        <v>791</v>
      </c>
      <c r="C255" s="104" t="s">
        <v>1195</v>
      </c>
      <c r="D255" s="104">
        <v>0</v>
      </c>
    </row>
    <row r="256" spans="1:4" x14ac:dyDescent="0.25">
      <c r="A256" s="109" t="s">
        <v>513</v>
      </c>
      <c r="B256" s="2" t="s">
        <v>792</v>
      </c>
      <c r="C256" s="104">
        <v>0</v>
      </c>
      <c r="D256" s="104">
        <v>0</v>
      </c>
    </row>
    <row r="257" spans="1:4" x14ac:dyDescent="0.25">
      <c r="A257" s="109" t="s">
        <v>514</v>
      </c>
      <c r="B257" s="2" t="s">
        <v>793</v>
      </c>
      <c r="C257" s="104">
        <v>0</v>
      </c>
      <c r="D257" s="104">
        <v>0</v>
      </c>
    </row>
    <row r="258" spans="1:4" x14ac:dyDescent="0.25">
      <c r="A258" s="109" t="s">
        <v>515</v>
      </c>
      <c r="B258" s="2" t="s">
        <v>794</v>
      </c>
      <c r="C258" s="104" t="s">
        <v>1195</v>
      </c>
      <c r="D258" s="104">
        <v>0</v>
      </c>
    </row>
    <row r="259" spans="1:4" ht="27.6" x14ac:dyDescent="0.25">
      <c r="A259" s="109" t="s">
        <v>516</v>
      </c>
      <c r="B259" s="2" t="s">
        <v>795</v>
      </c>
      <c r="C259" s="104">
        <v>0</v>
      </c>
      <c r="D259" s="104">
        <v>0</v>
      </c>
    </row>
    <row r="260" spans="1:4" ht="27.6" x14ac:dyDescent="0.25">
      <c r="A260" s="109" t="s">
        <v>517</v>
      </c>
      <c r="B260" s="2" t="s">
        <v>796</v>
      </c>
      <c r="C260" s="104" t="s">
        <v>1195</v>
      </c>
      <c r="D260" s="104">
        <v>0</v>
      </c>
    </row>
    <row r="261" spans="1:4" x14ac:dyDescent="0.25">
      <c r="A261" s="109" t="s">
        <v>518</v>
      </c>
      <c r="B261" s="2" t="s">
        <v>797</v>
      </c>
      <c r="C261" s="104">
        <v>0</v>
      </c>
      <c r="D261" s="104">
        <v>0</v>
      </c>
    </row>
    <row r="262" spans="1:4" x14ac:dyDescent="0.25">
      <c r="A262" s="109" t="s">
        <v>519</v>
      </c>
      <c r="B262" s="2" t="s">
        <v>798</v>
      </c>
      <c r="C262" s="104" t="s">
        <v>1190</v>
      </c>
      <c r="D262" s="104">
        <v>0</v>
      </c>
    </row>
    <row r="263" spans="1:4" ht="27.6" x14ac:dyDescent="0.25">
      <c r="A263" s="109" t="s">
        <v>520</v>
      </c>
      <c r="B263" s="2" t="s">
        <v>799</v>
      </c>
      <c r="C263" s="104">
        <v>0</v>
      </c>
      <c r="D263" s="104">
        <v>0</v>
      </c>
    </row>
    <row r="264" spans="1:4" ht="27.6" x14ac:dyDescent="0.25">
      <c r="A264" s="109" t="s">
        <v>521</v>
      </c>
      <c r="B264" s="2" t="s">
        <v>800</v>
      </c>
      <c r="C264" s="104">
        <v>0</v>
      </c>
      <c r="D264" s="104">
        <v>0</v>
      </c>
    </row>
    <row r="265" spans="1:4" x14ac:dyDescent="0.25">
      <c r="A265" s="109" t="s">
        <v>522</v>
      </c>
      <c r="B265" s="2" t="s">
        <v>801</v>
      </c>
      <c r="C265" s="104">
        <v>0</v>
      </c>
      <c r="D265" s="104">
        <v>0</v>
      </c>
    </row>
    <row r="266" spans="1:4" ht="27.6" x14ac:dyDescent="0.25">
      <c r="A266" s="109" t="s">
        <v>523</v>
      </c>
      <c r="B266" s="2" t="s">
        <v>802</v>
      </c>
      <c r="C266" s="104" t="s">
        <v>1195</v>
      </c>
      <c r="D266" s="104">
        <v>0</v>
      </c>
    </row>
    <row r="267" spans="1:4" x14ac:dyDescent="0.25">
      <c r="A267" s="109" t="s">
        <v>524</v>
      </c>
      <c r="B267" s="2" t="s">
        <v>803</v>
      </c>
      <c r="C267" s="104" t="s">
        <v>1195</v>
      </c>
      <c r="D267" s="104">
        <v>0</v>
      </c>
    </row>
    <row r="268" spans="1:4" x14ac:dyDescent="0.25">
      <c r="A268" s="109" t="s">
        <v>525</v>
      </c>
      <c r="B268" s="2" t="s">
        <v>804</v>
      </c>
      <c r="C268" s="104" t="s">
        <v>1180</v>
      </c>
      <c r="D268" s="104" t="s">
        <v>1180</v>
      </c>
    </row>
    <row r="269" spans="1:4" ht="27.6" x14ac:dyDescent="0.25">
      <c r="A269" s="109" t="s">
        <v>526</v>
      </c>
      <c r="B269" s="2" t="s">
        <v>805</v>
      </c>
      <c r="C269" s="104" t="s">
        <v>1189</v>
      </c>
      <c r="D269" s="104">
        <v>0</v>
      </c>
    </row>
    <row r="270" spans="1:4" ht="27.6" x14ac:dyDescent="0.25">
      <c r="A270" s="109" t="s">
        <v>527</v>
      </c>
      <c r="B270" s="2" t="s">
        <v>806</v>
      </c>
      <c r="C270" s="104" t="s">
        <v>1182</v>
      </c>
      <c r="D270" s="104">
        <v>0</v>
      </c>
    </row>
    <row r="271" spans="1:4" x14ac:dyDescent="0.25">
      <c r="A271" s="109" t="s">
        <v>528</v>
      </c>
      <c r="B271" s="2" t="s">
        <v>807</v>
      </c>
      <c r="C271" s="104" t="s">
        <v>1189</v>
      </c>
      <c r="D271" s="104">
        <v>0</v>
      </c>
    </row>
    <row r="272" spans="1:4" ht="27.6" x14ac:dyDescent="0.25">
      <c r="A272" s="109" t="s">
        <v>529</v>
      </c>
      <c r="B272" s="2" t="s">
        <v>808</v>
      </c>
      <c r="C272" s="104" t="s">
        <v>1196</v>
      </c>
      <c r="D272" s="104">
        <v>0</v>
      </c>
    </row>
    <row r="273" spans="1:4" ht="27.6" x14ac:dyDescent="0.25">
      <c r="A273" s="109" t="s">
        <v>530</v>
      </c>
      <c r="B273" s="2" t="s">
        <v>809</v>
      </c>
      <c r="C273" s="104" t="s">
        <v>1202</v>
      </c>
      <c r="D273" s="104">
        <v>0</v>
      </c>
    </row>
    <row r="274" spans="1:4" x14ac:dyDescent="0.25">
      <c r="A274" s="109" t="s">
        <v>531</v>
      </c>
      <c r="B274" s="2" t="s">
        <v>810</v>
      </c>
      <c r="C274" s="104">
        <v>0</v>
      </c>
      <c r="D274" s="104">
        <v>0</v>
      </c>
    </row>
    <row r="275" spans="1:4" x14ac:dyDescent="0.25">
      <c r="A275" s="109" t="s">
        <v>532</v>
      </c>
      <c r="B275" s="2" t="s">
        <v>811</v>
      </c>
      <c r="C275" s="104">
        <v>0</v>
      </c>
      <c r="D275" s="104">
        <v>0</v>
      </c>
    </row>
    <row r="276" spans="1:4" x14ac:dyDescent="0.25">
      <c r="A276" s="109" t="s">
        <v>533</v>
      </c>
      <c r="B276" s="2" t="s">
        <v>812</v>
      </c>
      <c r="C276" s="104" t="s">
        <v>1190</v>
      </c>
      <c r="D276" s="104">
        <v>0</v>
      </c>
    </row>
    <row r="277" spans="1:4" x14ac:dyDescent="0.25">
      <c r="A277" s="109" t="s">
        <v>534</v>
      </c>
      <c r="B277" s="2" t="s">
        <v>813</v>
      </c>
      <c r="C277" s="104" t="s">
        <v>1190</v>
      </c>
      <c r="D277" s="104">
        <v>0</v>
      </c>
    </row>
    <row r="278" spans="1:4" ht="27.6" x14ac:dyDescent="0.25">
      <c r="A278" s="109" t="s">
        <v>535</v>
      </c>
      <c r="B278" s="2" t="s">
        <v>814</v>
      </c>
      <c r="C278" s="104" t="s">
        <v>1195</v>
      </c>
      <c r="D278" s="104">
        <v>0</v>
      </c>
    </row>
    <row r="279" spans="1:4" ht="27.6" x14ac:dyDescent="0.25">
      <c r="A279" s="109" t="s">
        <v>536</v>
      </c>
      <c r="B279" s="2" t="s">
        <v>815</v>
      </c>
      <c r="C279" s="104">
        <v>0</v>
      </c>
      <c r="D279" s="104">
        <v>0</v>
      </c>
    </row>
    <row r="280" spans="1:4" ht="27.6" x14ac:dyDescent="0.25">
      <c r="A280" s="109" t="s">
        <v>537</v>
      </c>
      <c r="B280" s="2" t="s">
        <v>816</v>
      </c>
      <c r="C280" s="104" t="s">
        <v>1186</v>
      </c>
      <c r="D280" s="104">
        <v>0</v>
      </c>
    </row>
    <row r="281" spans="1:4" ht="27.6" x14ac:dyDescent="0.25">
      <c r="A281" s="109" t="s">
        <v>538</v>
      </c>
      <c r="B281" s="2" t="s">
        <v>817</v>
      </c>
      <c r="C281" s="104" t="s">
        <v>1186</v>
      </c>
      <c r="D281" s="104">
        <v>0</v>
      </c>
    </row>
    <row r="282" spans="1:4" ht="27.6" x14ac:dyDescent="0.25">
      <c r="A282" s="109" t="s">
        <v>539</v>
      </c>
      <c r="B282" s="2" t="s">
        <v>818</v>
      </c>
      <c r="C282" s="104" t="s">
        <v>1190</v>
      </c>
      <c r="D282" s="104">
        <v>0</v>
      </c>
    </row>
    <row r="283" spans="1:4" ht="27.6" x14ac:dyDescent="0.25">
      <c r="A283" s="109" t="s">
        <v>540</v>
      </c>
      <c r="B283" s="2" t="s">
        <v>819</v>
      </c>
      <c r="C283" s="104" t="s">
        <v>1190</v>
      </c>
      <c r="D283" s="104">
        <v>0</v>
      </c>
    </row>
    <row r="284" spans="1:4" ht="27.6" x14ac:dyDescent="0.25">
      <c r="A284" s="109" t="s">
        <v>541</v>
      </c>
      <c r="B284" s="2" t="s">
        <v>820</v>
      </c>
      <c r="C284" s="104" t="s">
        <v>1195</v>
      </c>
      <c r="D284" s="104">
        <v>0</v>
      </c>
    </row>
    <row r="285" spans="1:4" x14ac:dyDescent="0.25">
      <c r="A285" s="109" t="s">
        <v>542</v>
      </c>
      <c r="B285" s="2" t="s">
        <v>821</v>
      </c>
      <c r="C285" s="104" t="s">
        <v>1186</v>
      </c>
      <c r="D285" s="104">
        <v>0</v>
      </c>
    </row>
    <row r="286" spans="1:4" x14ac:dyDescent="0.25">
      <c r="A286" s="109" t="s">
        <v>543</v>
      </c>
      <c r="B286" s="2" t="s">
        <v>822</v>
      </c>
      <c r="C286" s="104" t="s">
        <v>1190</v>
      </c>
      <c r="D286" s="104">
        <v>0</v>
      </c>
    </row>
    <row r="287" spans="1:4" ht="27.6" x14ac:dyDescent="0.25">
      <c r="A287" s="109" t="s">
        <v>544</v>
      </c>
      <c r="B287" s="2" t="s">
        <v>823</v>
      </c>
      <c r="C287" s="104">
        <v>0</v>
      </c>
      <c r="D287" s="104">
        <v>0</v>
      </c>
    </row>
    <row r="288" spans="1:4" ht="27.6" x14ac:dyDescent="0.25">
      <c r="A288" s="109" t="s">
        <v>545</v>
      </c>
      <c r="B288" s="2" t="s">
        <v>824</v>
      </c>
      <c r="C288" s="104" t="s">
        <v>1195</v>
      </c>
      <c r="D288" s="104">
        <v>0</v>
      </c>
    </row>
    <row r="289" spans="1:4" ht="27.6" x14ac:dyDescent="0.25">
      <c r="A289" s="109" t="s">
        <v>546</v>
      </c>
      <c r="B289" s="2" t="s">
        <v>825</v>
      </c>
      <c r="C289" s="104" t="s">
        <v>1190</v>
      </c>
      <c r="D289" s="104">
        <v>0</v>
      </c>
    </row>
    <row r="290" spans="1:4" ht="27.6" x14ac:dyDescent="0.25">
      <c r="A290" s="109" t="s">
        <v>547</v>
      </c>
      <c r="B290" s="2" t="s">
        <v>826</v>
      </c>
      <c r="C290" s="104" t="s">
        <v>1195</v>
      </c>
      <c r="D290" s="104">
        <v>0</v>
      </c>
    </row>
    <row r="291" spans="1:4" x14ac:dyDescent="0.25">
      <c r="A291" s="109" t="s">
        <v>548</v>
      </c>
      <c r="B291" s="2" t="s">
        <v>827</v>
      </c>
      <c r="C291" s="104" t="s">
        <v>1190</v>
      </c>
      <c r="D291" s="104">
        <v>0</v>
      </c>
    </row>
    <row r="292" spans="1:4" x14ac:dyDescent="0.25">
      <c r="A292" s="109" t="s">
        <v>549</v>
      </c>
      <c r="B292" s="2" t="s">
        <v>828</v>
      </c>
      <c r="C292" s="104">
        <v>0</v>
      </c>
      <c r="D292" s="104">
        <v>0</v>
      </c>
    </row>
    <row r="293" spans="1:4" x14ac:dyDescent="0.25">
      <c r="A293" s="109" t="s">
        <v>550</v>
      </c>
      <c r="B293" s="2" t="s">
        <v>829</v>
      </c>
      <c r="C293" s="104">
        <v>0</v>
      </c>
      <c r="D293" s="104">
        <v>0</v>
      </c>
    </row>
    <row r="294" spans="1:4" x14ac:dyDescent="0.25">
      <c r="A294" s="109" t="s">
        <v>551</v>
      </c>
      <c r="B294" s="2" t="s">
        <v>830</v>
      </c>
      <c r="C294" s="104" t="s">
        <v>1190</v>
      </c>
      <c r="D294" s="104">
        <v>0</v>
      </c>
    </row>
    <row r="295" spans="1:4" x14ac:dyDescent="0.25">
      <c r="A295" s="109" t="s">
        <v>552</v>
      </c>
      <c r="B295" s="2" t="s">
        <v>831</v>
      </c>
      <c r="C295" s="104" t="s">
        <v>1190</v>
      </c>
      <c r="D295" s="104">
        <v>0</v>
      </c>
    </row>
    <row r="296" spans="1:4" x14ac:dyDescent="0.25">
      <c r="A296" s="109" t="s">
        <v>553</v>
      </c>
      <c r="B296" s="2" t="s">
        <v>832</v>
      </c>
      <c r="C296" s="104">
        <v>0</v>
      </c>
      <c r="D296" s="104">
        <v>0</v>
      </c>
    </row>
    <row r="297" spans="1:4" x14ac:dyDescent="0.25">
      <c r="A297" s="109" t="s">
        <v>554</v>
      </c>
      <c r="B297" s="2" t="s">
        <v>833</v>
      </c>
      <c r="C297" s="104">
        <v>0</v>
      </c>
      <c r="D297" s="104">
        <v>0</v>
      </c>
    </row>
    <row r="298" spans="1:4" x14ac:dyDescent="0.25">
      <c r="A298" s="109" t="s">
        <v>555</v>
      </c>
      <c r="B298" s="2" t="s">
        <v>834</v>
      </c>
      <c r="C298" s="104" t="s">
        <v>1195</v>
      </c>
      <c r="D298" s="104">
        <v>0</v>
      </c>
    </row>
    <row r="299" spans="1:4" x14ac:dyDescent="0.25">
      <c r="A299" s="109" t="s">
        <v>556</v>
      </c>
      <c r="B299" s="2" t="s">
        <v>835</v>
      </c>
      <c r="C299" s="104" t="s">
        <v>1195</v>
      </c>
      <c r="D299" s="104">
        <v>0</v>
      </c>
    </row>
    <row r="300" spans="1:4" ht="27.6" x14ac:dyDescent="0.25">
      <c r="A300" s="109" t="s">
        <v>557</v>
      </c>
      <c r="B300" s="2" t="s">
        <v>836</v>
      </c>
      <c r="C300" s="104">
        <v>0</v>
      </c>
      <c r="D300" s="104">
        <v>0</v>
      </c>
    </row>
    <row r="301" spans="1:4" x14ac:dyDescent="0.25">
      <c r="A301" s="109" t="s">
        <v>558</v>
      </c>
      <c r="B301" s="2" t="s">
        <v>837</v>
      </c>
      <c r="C301" s="104" t="s">
        <v>1195</v>
      </c>
      <c r="D301" s="104">
        <v>0</v>
      </c>
    </row>
    <row r="302" spans="1:4" x14ac:dyDescent="0.25">
      <c r="A302" s="109" t="s">
        <v>559</v>
      </c>
      <c r="B302" s="2" t="s">
        <v>838</v>
      </c>
      <c r="C302" s="104" t="s">
        <v>1190</v>
      </c>
      <c r="D302" s="104">
        <v>0</v>
      </c>
    </row>
    <row r="303" spans="1:4" x14ac:dyDescent="0.25">
      <c r="A303" s="109" t="s">
        <v>560</v>
      </c>
      <c r="B303" s="2" t="s">
        <v>839</v>
      </c>
      <c r="C303" s="104">
        <v>0</v>
      </c>
      <c r="D303" s="104">
        <v>0</v>
      </c>
    </row>
    <row r="304" spans="1:4" x14ac:dyDescent="0.25">
      <c r="A304" s="109" t="s">
        <v>561</v>
      </c>
      <c r="B304" s="2" t="s">
        <v>840</v>
      </c>
      <c r="C304" s="104" t="s">
        <v>1195</v>
      </c>
      <c r="D304" s="104">
        <v>0</v>
      </c>
    </row>
    <row r="305" spans="1:4" ht="27.6" x14ac:dyDescent="0.25">
      <c r="A305" s="109" t="s">
        <v>562</v>
      </c>
      <c r="B305" s="2" t="s">
        <v>841</v>
      </c>
      <c r="C305" s="104" t="s">
        <v>1195</v>
      </c>
      <c r="D305" s="104">
        <v>0</v>
      </c>
    </row>
    <row r="306" spans="1:4" x14ac:dyDescent="0.25">
      <c r="A306" s="109" t="s">
        <v>563</v>
      </c>
      <c r="B306" s="2" t="s">
        <v>945</v>
      </c>
      <c r="C306" s="104">
        <v>0</v>
      </c>
      <c r="D306" s="104">
        <v>0</v>
      </c>
    </row>
    <row r="307" spans="1:4" ht="27.6" x14ac:dyDescent="0.25">
      <c r="A307" s="109" t="s">
        <v>564</v>
      </c>
      <c r="B307" s="2" t="s">
        <v>842</v>
      </c>
      <c r="C307" s="104">
        <v>0</v>
      </c>
      <c r="D307" s="104">
        <v>0</v>
      </c>
    </row>
    <row r="308" spans="1:4" x14ac:dyDescent="0.25">
      <c r="A308" s="109" t="s">
        <v>565</v>
      </c>
      <c r="B308" s="2" t="s">
        <v>843</v>
      </c>
      <c r="C308" s="104">
        <v>0</v>
      </c>
      <c r="D308" s="104">
        <v>0</v>
      </c>
    </row>
    <row r="309" spans="1:4" x14ac:dyDescent="0.25">
      <c r="A309" s="109" t="s">
        <v>566</v>
      </c>
      <c r="B309" s="2" t="s">
        <v>844</v>
      </c>
      <c r="C309" s="104" t="s">
        <v>1195</v>
      </c>
      <c r="D309" s="104">
        <v>0</v>
      </c>
    </row>
    <row r="310" spans="1:4" x14ac:dyDescent="0.25">
      <c r="A310" s="109" t="s">
        <v>567</v>
      </c>
      <c r="B310" s="2" t="s">
        <v>845</v>
      </c>
      <c r="C310" s="104">
        <v>0</v>
      </c>
      <c r="D310" s="104">
        <v>0</v>
      </c>
    </row>
    <row r="311" spans="1:4" x14ac:dyDescent="0.25">
      <c r="A311" s="109" t="s">
        <v>568</v>
      </c>
      <c r="B311" s="2" t="s">
        <v>846</v>
      </c>
      <c r="C311" s="104" t="s">
        <v>1190</v>
      </c>
      <c r="D311" s="104">
        <v>0</v>
      </c>
    </row>
    <row r="312" spans="1:4" ht="27.6" x14ac:dyDescent="0.25">
      <c r="A312" s="109" t="s">
        <v>569</v>
      </c>
      <c r="B312" s="2" t="s">
        <v>847</v>
      </c>
      <c r="C312" s="104" t="s">
        <v>1198</v>
      </c>
      <c r="D312" s="104">
        <v>0</v>
      </c>
    </row>
    <row r="313" spans="1:4" x14ac:dyDescent="0.25">
      <c r="A313" s="109" t="s">
        <v>570</v>
      </c>
      <c r="B313" s="2" t="s">
        <v>848</v>
      </c>
      <c r="C313" s="104" t="s">
        <v>1195</v>
      </c>
      <c r="D313" s="104">
        <v>0</v>
      </c>
    </row>
    <row r="314" spans="1:4" x14ac:dyDescent="0.25">
      <c r="A314" s="109" t="s">
        <v>571</v>
      </c>
      <c r="B314" s="2" t="s">
        <v>849</v>
      </c>
      <c r="C314" s="104">
        <v>0</v>
      </c>
      <c r="D314" s="104">
        <v>0</v>
      </c>
    </row>
    <row r="315" spans="1:4" x14ac:dyDescent="0.25">
      <c r="A315" s="109" t="s">
        <v>572</v>
      </c>
      <c r="B315" s="2" t="s">
        <v>850</v>
      </c>
      <c r="C315" s="104" t="s">
        <v>1190</v>
      </c>
      <c r="D315" s="104">
        <v>0</v>
      </c>
    </row>
    <row r="316" spans="1:4" x14ac:dyDescent="0.25">
      <c r="A316" s="109" t="s">
        <v>573</v>
      </c>
      <c r="B316" s="2" t="s">
        <v>851</v>
      </c>
      <c r="C316" s="104" t="s">
        <v>1186</v>
      </c>
      <c r="D316" s="104">
        <v>0</v>
      </c>
    </row>
    <row r="317" spans="1:4" ht="27.6" x14ac:dyDescent="0.25">
      <c r="A317" s="109" t="s">
        <v>574</v>
      </c>
      <c r="B317" s="2" t="s">
        <v>852</v>
      </c>
      <c r="C317" s="104" t="s">
        <v>1189</v>
      </c>
      <c r="D317" s="104">
        <v>0</v>
      </c>
    </row>
    <row r="318" spans="1:4" x14ac:dyDescent="0.25">
      <c r="A318" s="109" t="s">
        <v>575</v>
      </c>
      <c r="B318" s="2" t="s">
        <v>853</v>
      </c>
      <c r="C318" s="104" t="s">
        <v>1191</v>
      </c>
      <c r="D318" s="104">
        <v>0</v>
      </c>
    </row>
    <row r="319" spans="1:4" ht="27.6" x14ac:dyDescent="0.25">
      <c r="A319" s="109" t="s">
        <v>576</v>
      </c>
      <c r="B319" s="2" t="s">
        <v>854</v>
      </c>
      <c r="C319" s="104" t="s">
        <v>1186</v>
      </c>
      <c r="D319" s="104">
        <v>0</v>
      </c>
    </row>
    <row r="320" spans="1:4" x14ac:dyDescent="0.25">
      <c r="A320" s="109" t="s">
        <v>577</v>
      </c>
      <c r="B320" s="2" t="s">
        <v>855</v>
      </c>
      <c r="C320" s="104" t="s">
        <v>1195</v>
      </c>
      <c r="D320" s="104">
        <v>0</v>
      </c>
    </row>
    <row r="321" spans="1:4" x14ac:dyDescent="0.25">
      <c r="A321" s="109" t="s">
        <v>578</v>
      </c>
      <c r="B321" s="2" t="s">
        <v>856</v>
      </c>
      <c r="C321" s="104">
        <v>0</v>
      </c>
      <c r="D321" s="104">
        <v>0</v>
      </c>
    </row>
    <row r="322" spans="1:4" x14ac:dyDescent="0.25">
      <c r="A322" s="109" t="s">
        <v>579</v>
      </c>
      <c r="B322" s="2" t="s">
        <v>857</v>
      </c>
      <c r="C322" s="104" t="s">
        <v>1191</v>
      </c>
      <c r="D322" s="104">
        <v>0</v>
      </c>
    </row>
    <row r="323" spans="1:4" x14ac:dyDescent="0.25">
      <c r="A323" s="109" t="s">
        <v>580</v>
      </c>
      <c r="B323" s="2" t="s">
        <v>858</v>
      </c>
      <c r="C323" s="104" t="s">
        <v>1195</v>
      </c>
      <c r="D323" s="104">
        <v>0</v>
      </c>
    </row>
    <row r="324" spans="1:4" x14ac:dyDescent="0.25">
      <c r="A324" s="109" t="s">
        <v>581</v>
      </c>
      <c r="B324" s="2" t="s">
        <v>859</v>
      </c>
      <c r="C324" s="104" t="s">
        <v>1186</v>
      </c>
      <c r="D324" s="104">
        <v>0</v>
      </c>
    </row>
    <row r="325" spans="1:4" ht="27.6" x14ac:dyDescent="0.25">
      <c r="A325" s="109" t="s">
        <v>582</v>
      </c>
      <c r="B325" s="2" t="s">
        <v>860</v>
      </c>
      <c r="C325" s="104" t="s">
        <v>1195</v>
      </c>
      <c r="D325" s="104">
        <v>0</v>
      </c>
    </row>
    <row r="326" spans="1:4" x14ac:dyDescent="0.25">
      <c r="A326" s="109" t="s">
        <v>583</v>
      </c>
      <c r="B326" s="2" t="s">
        <v>861</v>
      </c>
      <c r="C326" s="104" t="s">
        <v>1186</v>
      </c>
      <c r="D326" s="104">
        <v>0</v>
      </c>
    </row>
    <row r="327" spans="1:4" x14ac:dyDescent="0.25">
      <c r="A327" s="109" t="s">
        <v>584</v>
      </c>
      <c r="B327" s="2" t="s">
        <v>862</v>
      </c>
      <c r="C327" s="104" t="s">
        <v>1195</v>
      </c>
      <c r="D327" s="104">
        <v>0</v>
      </c>
    </row>
    <row r="328" spans="1:4" x14ac:dyDescent="0.25">
      <c r="A328" s="109" t="s">
        <v>585</v>
      </c>
      <c r="B328" s="2" t="s">
        <v>863</v>
      </c>
      <c r="C328" s="104" t="s">
        <v>1186</v>
      </c>
      <c r="D328" s="104">
        <v>0</v>
      </c>
    </row>
    <row r="329" spans="1:4" x14ac:dyDescent="0.25">
      <c r="A329" s="109" t="s">
        <v>586</v>
      </c>
      <c r="B329" s="2" t="s">
        <v>864</v>
      </c>
      <c r="C329" s="104" t="s">
        <v>1195</v>
      </c>
      <c r="D329" s="104">
        <v>0</v>
      </c>
    </row>
    <row r="330" spans="1:4" x14ac:dyDescent="0.25">
      <c r="A330" s="109" t="s">
        <v>587</v>
      </c>
      <c r="B330" s="2" t="s">
        <v>865</v>
      </c>
      <c r="C330" s="104" t="s">
        <v>1195</v>
      </c>
      <c r="D330" s="104">
        <v>0</v>
      </c>
    </row>
    <row r="331" spans="1:4" x14ac:dyDescent="0.25">
      <c r="A331" s="109" t="s">
        <v>588</v>
      </c>
      <c r="B331" s="2" t="s">
        <v>866</v>
      </c>
      <c r="C331" s="104">
        <v>0</v>
      </c>
      <c r="D331" s="104">
        <v>0</v>
      </c>
    </row>
    <row r="332" spans="1:4" x14ac:dyDescent="0.25">
      <c r="A332" s="109" t="s">
        <v>589</v>
      </c>
      <c r="B332" s="2" t="s">
        <v>867</v>
      </c>
      <c r="C332" s="104">
        <v>0</v>
      </c>
      <c r="D332" s="104">
        <v>0</v>
      </c>
    </row>
    <row r="333" spans="1:4" x14ac:dyDescent="0.25">
      <c r="A333" s="109" t="s">
        <v>590</v>
      </c>
      <c r="B333" s="2" t="s">
        <v>868</v>
      </c>
      <c r="C333" s="104" t="s">
        <v>1195</v>
      </c>
      <c r="D333" s="104">
        <v>0</v>
      </c>
    </row>
    <row r="334" spans="1:4" ht="27.6" x14ac:dyDescent="0.25">
      <c r="A334" s="109" t="s">
        <v>591</v>
      </c>
      <c r="B334" s="2" t="s">
        <v>869</v>
      </c>
      <c r="C334" s="104">
        <v>0</v>
      </c>
      <c r="D334" s="104">
        <v>0</v>
      </c>
    </row>
    <row r="335" spans="1:4" ht="27.6" x14ac:dyDescent="0.25">
      <c r="A335" s="109" t="s">
        <v>592</v>
      </c>
      <c r="B335" s="2" t="s">
        <v>870</v>
      </c>
      <c r="C335" s="104">
        <v>0</v>
      </c>
      <c r="D335" s="104">
        <v>0</v>
      </c>
    </row>
    <row r="336" spans="1:4" x14ac:dyDescent="0.25">
      <c r="A336" s="109" t="s">
        <v>593</v>
      </c>
      <c r="B336" s="2" t="s">
        <v>871</v>
      </c>
      <c r="C336" s="104" t="s">
        <v>1190</v>
      </c>
      <c r="D336" s="104">
        <v>0</v>
      </c>
    </row>
    <row r="337" spans="1:4" ht="27.6" x14ac:dyDescent="0.25">
      <c r="A337" s="109" t="s">
        <v>594</v>
      </c>
      <c r="B337" s="2" t="s">
        <v>872</v>
      </c>
      <c r="C337" s="104" t="s">
        <v>1195</v>
      </c>
      <c r="D337" s="104">
        <v>0</v>
      </c>
    </row>
    <row r="338" spans="1:4" x14ac:dyDescent="0.25">
      <c r="A338" s="109" t="s">
        <v>595</v>
      </c>
      <c r="B338" s="2" t="s">
        <v>873</v>
      </c>
      <c r="C338" s="104">
        <v>0</v>
      </c>
      <c r="D338" s="104">
        <v>0</v>
      </c>
    </row>
    <row r="339" spans="1:4" x14ac:dyDescent="0.25">
      <c r="A339" s="109" t="s">
        <v>596</v>
      </c>
      <c r="B339" s="2" t="s">
        <v>874</v>
      </c>
      <c r="C339" s="104" t="s">
        <v>1195</v>
      </c>
      <c r="D339" s="104">
        <v>0</v>
      </c>
    </row>
    <row r="340" spans="1:4" x14ac:dyDescent="0.25">
      <c r="A340" s="109" t="s">
        <v>597</v>
      </c>
      <c r="B340" s="2" t="s">
        <v>875</v>
      </c>
      <c r="C340" s="104">
        <v>0</v>
      </c>
      <c r="D340" s="104">
        <v>0</v>
      </c>
    </row>
    <row r="341" spans="1:4" x14ac:dyDescent="0.25">
      <c r="A341" s="109" t="s">
        <v>598</v>
      </c>
      <c r="B341" s="2" t="s">
        <v>876</v>
      </c>
      <c r="C341" s="104">
        <v>0</v>
      </c>
      <c r="D341" s="104">
        <v>0</v>
      </c>
    </row>
    <row r="342" spans="1:4" x14ac:dyDescent="0.25">
      <c r="A342" s="109" t="s">
        <v>599</v>
      </c>
      <c r="B342" s="2" t="s">
        <v>877</v>
      </c>
      <c r="C342" s="104">
        <v>0</v>
      </c>
      <c r="D342" s="104">
        <v>0</v>
      </c>
    </row>
    <row r="343" spans="1:4" ht="27.6" x14ac:dyDescent="0.25">
      <c r="A343" s="109" t="s">
        <v>600</v>
      </c>
      <c r="B343" s="2" t="s">
        <v>878</v>
      </c>
      <c r="C343" s="104" t="s">
        <v>1195</v>
      </c>
      <c r="D343" s="104">
        <v>0</v>
      </c>
    </row>
    <row r="344" spans="1:4" x14ac:dyDescent="0.25">
      <c r="A344" s="109" t="s">
        <v>601</v>
      </c>
      <c r="B344" s="2" t="s">
        <v>879</v>
      </c>
      <c r="C344" s="104" t="s">
        <v>1195</v>
      </c>
      <c r="D344" s="104">
        <v>0</v>
      </c>
    </row>
    <row r="345" spans="1:4" x14ac:dyDescent="0.25">
      <c r="A345" s="109" t="s">
        <v>602</v>
      </c>
      <c r="B345" s="2" t="s">
        <v>880</v>
      </c>
      <c r="C345" s="104" t="s">
        <v>1195</v>
      </c>
      <c r="D345" s="104">
        <v>0</v>
      </c>
    </row>
    <row r="346" spans="1:4" x14ac:dyDescent="0.25">
      <c r="A346" s="109" t="s">
        <v>603</v>
      </c>
      <c r="B346" s="2" t="s">
        <v>881</v>
      </c>
      <c r="C346" s="104" t="s">
        <v>1190</v>
      </c>
      <c r="D346" s="104">
        <v>0</v>
      </c>
    </row>
    <row r="347" spans="1:4" ht="27.6" x14ac:dyDescent="0.25">
      <c r="A347" s="109" t="s">
        <v>604</v>
      </c>
      <c r="B347" s="2" t="s">
        <v>882</v>
      </c>
      <c r="C347" s="104" t="s">
        <v>1195</v>
      </c>
      <c r="D347" s="104">
        <v>0</v>
      </c>
    </row>
    <row r="348" spans="1:4" ht="27.6" x14ac:dyDescent="0.25">
      <c r="A348" s="109" t="s">
        <v>605</v>
      </c>
      <c r="B348" s="2" t="s">
        <v>883</v>
      </c>
      <c r="C348" s="104" t="s">
        <v>1195</v>
      </c>
      <c r="D348" s="104">
        <v>0</v>
      </c>
    </row>
    <row r="349" spans="1:4" x14ac:dyDescent="0.25">
      <c r="A349" s="109" t="s">
        <v>606</v>
      </c>
      <c r="B349" s="2" t="s">
        <v>884</v>
      </c>
      <c r="C349" s="104" t="s">
        <v>1195</v>
      </c>
      <c r="D349" s="104">
        <v>0</v>
      </c>
    </row>
    <row r="350" spans="1:4" x14ac:dyDescent="0.25">
      <c r="A350" s="109" t="s">
        <v>607</v>
      </c>
      <c r="B350" s="2" t="s">
        <v>885</v>
      </c>
      <c r="C350" s="104" t="s">
        <v>1195</v>
      </c>
      <c r="D350" s="104">
        <v>0</v>
      </c>
    </row>
    <row r="351" spans="1:4" x14ac:dyDescent="0.25">
      <c r="A351" s="109" t="s">
        <v>608</v>
      </c>
      <c r="B351" s="2" t="s">
        <v>886</v>
      </c>
      <c r="C351" s="104" t="s">
        <v>1195</v>
      </c>
      <c r="D351" s="104">
        <v>0</v>
      </c>
    </row>
    <row r="352" spans="1:4" ht="27.6" x14ac:dyDescent="0.25">
      <c r="A352" s="109" t="s">
        <v>609</v>
      </c>
      <c r="B352" s="2" t="s">
        <v>887</v>
      </c>
      <c r="C352" s="104">
        <v>0</v>
      </c>
      <c r="D352" s="104">
        <v>0</v>
      </c>
    </row>
    <row r="353" spans="1:4" x14ac:dyDescent="0.25">
      <c r="A353" s="109" t="s">
        <v>610</v>
      </c>
      <c r="B353" s="2" t="s">
        <v>888</v>
      </c>
      <c r="C353" s="104" t="s">
        <v>1195</v>
      </c>
      <c r="D353" s="104">
        <v>0</v>
      </c>
    </row>
    <row r="354" spans="1:4" x14ac:dyDescent="0.25">
      <c r="A354" s="109" t="s">
        <v>611</v>
      </c>
      <c r="B354" s="2" t="s">
        <v>889</v>
      </c>
      <c r="C354" s="104" t="s">
        <v>1195</v>
      </c>
      <c r="D354" s="104">
        <v>0</v>
      </c>
    </row>
    <row r="355" spans="1:4" x14ac:dyDescent="0.25">
      <c r="A355" s="109" t="s">
        <v>612</v>
      </c>
      <c r="B355" s="2" t="s">
        <v>890</v>
      </c>
      <c r="C355" s="104" t="s">
        <v>1195</v>
      </c>
      <c r="D355" s="104">
        <v>0</v>
      </c>
    </row>
    <row r="356" spans="1:4" ht="27.6" x14ac:dyDescent="0.25">
      <c r="A356" s="109" t="s">
        <v>613</v>
      </c>
      <c r="B356" s="2" t="s">
        <v>891</v>
      </c>
      <c r="C356" s="104">
        <v>0</v>
      </c>
      <c r="D356" s="104">
        <v>0</v>
      </c>
    </row>
    <row r="357" spans="1:4" ht="41.4" x14ac:dyDescent="0.25">
      <c r="A357" s="109" t="s">
        <v>614</v>
      </c>
      <c r="B357" s="2" t="s">
        <v>892</v>
      </c>
      <c r="C357" s="104">
        <v>0</v>
      </c>
      <c r="D357" s="104">
        <v>0</v>
      </c>
    </row>
    <row r="358" spans="1:4" ht="27.6" x14ac:dyDescent="0.25">
      <c r="A358" s="109" t="s">
        <v>615</v>
      </c>
      <c r="B358" s="2" t="s">
        <v>893</v>
      </c>
      <c r="C358" s="104">
        <v>0</v>
      </c>
      <c r="D358" s="104">
        <v>0</v>
      </c>
    </row>
    <row r="359" spans="1:4" x14ac:dyDescent="0.25">
      <c r="A359" s="109" t="s">
        <v>616</v>
      </c>
      <c r="B359" s="2" t="s">
        <v>894</v>
      </c>
      <c r="C359" s="104" t="s">
        <v>1195</v>
      </c>
      <c r="D359" s="104">
        <v>0</v>
      </c>
    </row>
    <row r="360" spans="1:4" x14ac:dyDescent="0.25">
      <c r="A360" s="109" t="s">
        <v>617</v>
      </c>
      <c r="B360" s="2" t="s">
        <v>895</v>
      </c>
      <c r="C360" s="104" t="s">
        <v>1195</v>
      </c>
      <c r="D360" s="104">
        <v>0</v>
      </c>
    </row>
    <row r="361" spans="1:4" x14ac:dyDescent="0.25">
      <c r="A361" s="109" t="s">
        <v>618</v>
      </c>
      <c r="B361" s="2" t="s">
        <v>896</v>
      </c>
      <c r="C361" s="104" t="s">
        <v>1195</v>
      </c>
      <c r="D361" s="104">
        <v>0</v>
      </c>
    </row>
    <row r="362" spans="1:4" ht="27.6" x14ac:dyDescent="0.25">
      <c r="A362" s="109" t="s">
        <v>619</v>
      </c>
      <c r="B362" s="2" t="s">
        <v>897</v>
      </c>
      <c r="C362" s="104">
        <v>0</v>
      </c>
      <c r="D362" s="104">
        <v>0</v>
      </c>
    </row>
    <row r="363" spans="1:4" x14ac:dyDescent="0.25">
      <c r="A363" s="109" t="s">
        <v>620</v>
      </c>
      <c r="B363" s="2" t="s">
        <v>898</v>
      </c>
      <c r="C363" s="104">
        <v>0</v>
      </c>
      <c r="D363" s="104">
        <v>0</v>
      </c>
    </row>
    <row r="364" spans="1:4" ht="27.6" x14ac:dyDescent="0.25">
      <c r="A364" s="109" t="s">
        <v>621</v>
      </c>
      <c r="B364" s="2" t="s">
        <v>899</v>
      </c>
      <c r="C364" s="104" t="s">
        <v>1195</v>
      </c>
      <c r="D364" s="104">
        <v>0</v>
      </c>
    </row>
    <row r="365" spans="1:4" x14ac:dyDescent="0.25">
      <c r="A365" s="109" t="s">
        <v>622</v>
      </c>
      <c r="B365" s="2" t="s">
        <v>900</v>
      </c>
      <c r="C365" s="104" t="s">
        <v>1195</v>
      </c>
      <c r="D365" s="104">
        <v>0</v>
      </c>
    </row>
    <row r="366" spans="1:4" x14ac:dyDescent="0.25">
      <c r="A366" s="109" t="s">
        <v>623</v>
      </c>
      <c r="B366" s="2" t="s">
        <v>901</v>
      </c>
      <c r="C366" s="104">
        <v>0</v>
      </c>
      <c r="D366" s="104">
        <v>0</v>
      </c>
    </row>
    <row r="367" spans="1:4" ht="27.6" x14ac:dyDescent="0.25">
      <c r="A367" s="109" t="s">
        <v>624</v>
      </c>
      <c r="B367" s="2" t="s">
        <v>902</v>
      </c>
      <c r="C367" s="104" t="s">
        <v>1195</v>
      </c>
      <c r="D367" s="104">
        <v>0</v>
      </c>
    </row>
    <row r="368" spans="1:4" x14ac:dyDescent="0.25">
      <c r="A368" s="109" t="s">
        <v>625</v>
      </c>
      <c r="B368" s="2" t="s">
        <v>903</v>
      </c>
      <c r="C368" s="104">
        <v>0</v>
      </c>
      <c r="D368" s="104">
        <v>0</v>
      </c>
    </row>
    <row r="369" spans="1:4" x14ac:dyDescent="0.25">
      <c r="A369" s="109" t="s">
        <v>626</v>
      </c>
      <c r="B369" s="2" t="s">
        <v>904</v>
      </c>
      <c r="C369" s="104">
        <v>0</v>
      </c>
      <c r="D369" s="104">
        <v>0</v>
      </c>
    </row>
    <row r="370" spans="1:4" x14ac:dyDescent="0.25">
      <c r="A370" s="109" t="s">
        <v>627</v>
      </c>
      <c r="B370" s="2" t="s">
        <v>905</v>
      </c>
      <c r="C370" s="104">
        <v>0</v>
      </c>
      <c r="D370" s="104">
        <v>0</v>
      </c>
    </row>
    <row r="371" spans="1:4" ht="27.6" x14ac:dyDescent="0.25">
      <c r="A371" s="109" t="s">
        <v>628</v>
      </c>
      <c r="B371" s="2" t="s">
        <v>906</v>
      </c>
      <c r="C371" s="104">
        <v>0</v>
      </c>
      <c r="D371" s="104">
        <v>0</v>
      </c>
    </row>
    <row r="372" spans="1:4" x14ac:dyDescent="0.25">
      <c r="A372" s="109" t="s">
        <v>629</v>
      </c>
      <c r="B372" s="2" t="s">
        <v>907</v>
      </c>
      <c r="C372" s="104" t="s">
        <v>1195</v>
      </c>
      <c r="D372" s="104">
        <v>0</v>
      </c>
    </row>
    <row r="373" spans="1:4" x14ac:dyDescent="0.25">
      <c r="A373" s="109" t="s">
        <v>630</v>
      </c>
      <c r="B373" s="2" t="s">
        <v>908</v>
      </c>
      <c r="C373" s="104" t="s">
        <v>1195</v>
      </c>
      <c r="D373" s="104">
        <v>0</v>
      </c>
    </row>
    <row r="374" spans="1:4" x14ac:dyDescent="0.25">
      <c r="A374" s="109" t="s">
        <v>631</v>
      </c>
      <c r="B374" s="2" t="s">
        <v>909</v>
      </c>
      <c r="C374" s="104" t="s">
        <v>1195</v>
      </c>
      <c r="D374" s="104">
        <v>0</v>
      </c>
    </row>
    <row r="375" spans="1:4" x14ac:dyDescent="0.25">
      <c r="A375" s="109" t="s">
        <v>632</v>
      </c>
      <c r="B375" s="2" t="s">
        <v>910</v>
      </c>
      <c r="C375" s="104">
        <v>0</v>
      </c>
      <c r="D375" s="104">
        <v>0</v>
      </c>
    </row>
    <row r="376" spans="1:4" x14ac:dyDescent="0.25">
      <c r="A376" s="109" t="s">
        <v>633</v>
      </c>
      <c r="B376" s="2" t="s">
        <v>911</v>
      </c>
      <c r="C376" s="104">
        <v>0</v>
      </c>
      <c r="D376" s="104">
        <v>0</v>
      </c>
    </row>
    <row r="377" spans="1:4" x14ac:dyDescent="0.25">
      <c r="A377" s="109" t="s">
        <v>634</v>
      </c>
      <c r="B377" s="2" t="s">
        <v>912</v>
      </c>
      <c r="C377" s="104" t="s">
        <v>1182</v>
      </c>
      <c r="D377" s="104">
        <v>0</v>
      </c>
    </row>
    <row r="378" spans="1:4" ht="27.6" x14ac:dyDescent="0.25">
      <c r="A378" s="109" t="s">
        <v>635</v>
      </c>
      <c r="B378" s="2" t="s">
        <v>913</v>
      </c>
      <c r="C378" s="104" t="s">
        <v>1202</v>
      </c>
      <c r="D378" s="104">
        <v>0</v>
      </c>
    </row>
    <row r="379" spans="1:4" ht="27.6" x14ac:dyDescent="0.25">
      <c r="A379" s="109" t="s">
        <v>636</v>
      </c>
      <c r="B379" s="2" t="s">
        <v>914</v>
      </c>
      <c r="C379" s="104" t="s">
        <v>1195</v>
      </c>
      <c r="D379" s="104">
        <v>0</v>
      </c>
    </row>
    <row r="380" spans="1:4" ht="27.6" x14ac:dyDescent="0.25">
      <c r="A380" s="109" t="s">
        <v>637</v>
      </c>
      <c r="B380" s="2" t="s">
        <v>915</v>
      </c>
      <c r="C380" s="104" t="s">
        <v>1198</v>
      </c>
      <c r="D380" s="104">
        <v>0</v>
      </c>
    </row>
    <row r="381" spans="1:4" x14ac:dyDescent="0.25">
      <c r="A381" s="109" t="s">
        <v>638</v>
      </c>
      <c r="B381" s="2" t="s">
        <v>916</v>
      </c>
      <c r="C381" s="104" t="s">
        <v>1195</v>
      </c>
      <c r="D381" s="104">
        <v>0</v>
      </c>
    </row>
    <row r="382" spans="1:4" ht="27.6" x14ac:dyDescent="0.25">
      <c r="A382" s="109" t="s">
        <v>639</v>
      </c>
      <c r="B382" s="2" t="s">
        <v>917</v>
      </c>
      <c r="C382" s="104" t="s">
        <v>1195</v>
      </c>
      <c r="D382" s="104">
        <v>0</v>
      </c>
    </row>
    <row r="383" spans="1:4" ht="27.6" x14ac:dyDescent="0.25">
      <c r="A383" s="109" t="s">
        <v>640</v>
      </c>
      <c r="B383" s="2" t="s">
        <v>918</v>
      </c>
      <c r="C383" s="104" t="s">
        <v>1191</v>
      </c>
      <c r="D383" s="104">
        <v>0</v>
      </c>
    </row>
    <row r="384" spans="1:4" ht="27.6" x14ac:dyDescent="0.25">
      <c r="A384" s="109" t="s">
        <v>641</v>
      </c>
      <c r="B384" s="2" t="s">
        <v>919</v>
      </c>
      <c r="C384" s="104" t="s">
        <v>1186</v>
      </c>
      <c r="D384" s="104">
        <v>0</v>
      </c>
    </row>
    <row r="385" spans="1:4" ht="27.6" x14ac:dyDescent="0.25">
      <c r="A385" s="109" t="s">
        <v>642</v>
      </c>
      <c r="B385" s="2" t="s">
        <v>920</v>
      </c>
      <c r="C385" s="104">
        <v>0</v>
      </c>
      <c r="D385" s="104">
        <v>0</v>
      </c>
    </row>
    <row r="386" spans="1:4" ht="27.6" x14ac:dyDescent="0.25">
      <c r="A386" s="109" t="s">
        <v>643</v>
      </c>
      <c r="B386" s="2" t="s">
        <v>921</v>
      </c>
      <c r="C386" s="104">
        <v>0</v>
      </c>
      <c r="D386" s="104">
        <v>0</v>
      </c>
    </row>
    <row r="387" spans="1:4" x14ac:dyDescent="0.25">
      <c r="A387" s="109" t="s">
        <v>644</v>
      </c>
      <c r="B387" s="2" t="s">
        <v>922</v>
      </c>
      <c r="C387" s="104" t="s">
        <v>1195</v>
      </c>
      <c r="D387" s="104">
        <v>0</v>
      </c>
    </row>
    <row r="388" spans="1:4" x14ac:dyDescent="0.25">
      <c r="A388" s="109" t="s">
        <v>645</v>
      </c>
      <c r="B388" s="2" t="s">
        <v>923</v>
      </c>
      <c r="C388" s="104">
        <v>0</v>
      </c>
      <c r="D388" s="104">
        <v>0</v>
      </c>
    </row>
    <row r="389" spans="1:4" x14ac:dyDescent="0.25">
      <c r="A389" s="109" t="s">
        <v>646</v>
      </c>
      <c r="B389" s="2" t="s">
        <v>924</v>
      </c>
      <c r="C389" s="104" t="s">
        <v>1186</v>
      </c>
      <c r="D389" s="104">
        <v>0</v>
      </c>
    </row>
    <row r="390" spans="1:4" ht="27.6" x14ac:dyDescent="0.25">
      <c r="A390" s="109" t="s">
        <v>647</v>
      </c>
      <c r="B390" s="2" t="s">
        <v>925</v>
      </c>
      <c r="C390" s="104" t="s">
        <v>1195</v>
      </c>
      <c r="D390" s="104">
        <v>0</v>
      </c>
    </row>
    <row r="391" spans="1:4" ht="27.6" x14ac:dyDescent="0.25">
      <c r="A391" s="109" t="s">
        <v>648</v>
      </c>
      <c r="B391" s="2" t="s">
        <v>926</v>
      </c>
      <c r="C391" s="104" t="s">
        <v>1190</v>
      </c>
      <c r="D391" s="104">
        <v>0</v>
      </c>
    </row>
    <row r="392" spans="1:4" ht="27.6" x14ac:dyDescent="0.25">
      <c r="A392" s="109" t="s">
        <v>649</v>
      </c>
      <c r="B392" s="2" t="s">
        <v>927</v>
      </c>
      <c r="C392" s="104" t="s">
        <v>1186</v>
      </c>
      <c r="D392" s="104">
        <v>0</v>
      </c>
    </row>
    <row r="393" spans="1:4" x14ac:dyDescent="0.25">
      <c r="A393" s="109" t="s">
        <v>650</v>
      </c>
      <c r="B393" s="2" t="s">
        <v>928</v>
      </c>
      <c r="C393" s="104" t="s">
        <v>1195</v>
      </c>
      <c r="D393" s="104">
        <v>0</v>
      </c>
    </row>
    <row r="394" spans="1:4" ht="27.6" x14ac:dyDescent="0.25">
      <c r="A394" s="109" t="s">
        <v>651</v>
      </c>
      <c r="B394" s="2" t="s">
        <v>929</v>
      </c>
      <c r="C394" s="104">
        <v>0</v>
      </c>
      <c r="D394" s="104">
        <v>0</v>
      </c>
    </row>
    <row r="395" spans="1:4" ht="27.6" x14ac:dyDescent="0.25">
      <c r="A395" s="109" t="s">
        <v>652</v>
      </c>
      <c r="B395" s="2" t="s">
        <v>930</v>
      </c>
      <c r="C395" s="104">
        <v>0</v>
      </c>
      <c r="D395" s="104">
        <v>0</v>
      </c>
    </row>
    <row r="396" spans="1:4" ht="27.6" x14ac:dyDescent="0.25">
      <c r="A396" s="109" t="s">
        <v>653</v>
      </c>
      <c r="B396" s="2" t="s">
        <v>931</v>
      </c>
      <c r="C396" s="104" t="s">
        <v>1195</v>
      </c>
      <c r="D396" s="104">
        <v>0</v>
      </c>
    </row>
    <row r="397" spans="1:4" x14ac:dyDescent="0.25">
      <c r="A397" s="109" t="s">
        <v>654</v>
      </c>
      <c r="B397" s="2" t="s">
        <v>932</v>
      </c>
      <c r="C397" s="104">
        <v>0</v>
      </c>
      <c r="D397" s="104">
        <v>0</v>
      </c>
    </row>
    <row r="398" spans="1:4" x14ac:dyDescent="0.25">
      <c r="A398" s="109" t="s">
        <v>655</v>
      </c>
      <c r="B398" s="2" t="s">
        <v>933</v>
      </c>
      <c r="C398" s="104" t="s">
        <v>1195</v>
      </c>
      <c r="D398" s="104">
        <v>0</v>
      </c>
    </row>
    <row r="399" spans="1:4" x14ac:dyDescent="0.25">
      <c r="A399" s="109" t="s">
        <v>656</v>
      </c>
      <c r="B399" s="2" t="s">
        <v>934</v>
      </c>
      <c r="C399" s="104" t="s">
        <v>1195</v>
      </c>
      <c r="D399" s="104">
        <v>0</v>
      </c>
    </row>
    <row r="400" spans="1:4" x14ac:dyDescent="0.25">
      <c r="A400" s="109" t="s">
        <v>657</v>
      </c>
      <c r="B400" s="2" t="s">
        <v>935</v>
      </c>
      <c r="C400" s="104" t="s">
        <v>1191</v>
      </c>
      <c r="D400" s="104">
        <v>0</v>
      </c>
    </row>
    <row r="401" spans="1:4" ht="27.6" x14ac:dyDescent="0.25">
      <c r="A401" s="109" t="s">
        <v>658</v>
      </c>
      <c r="B401" s="2" t="s">
        <v>936</v>
      </c>
      <c r="C401" s="104" t="s">
        <v>1191</v>
      </c>
      <c r="D401" s="104">
        <v>0</v>
      </c>
    </row>
    <row r="402" spans="1:4" x14ac:dyDescent="0.25">
      <c r="A402" s="109" t="s">
        <v>659</v>
      </c>
      <c r="B402" s="2" t="s">
        <v>937</v>
      </c>
      <c r="C402" s="104" t="s">
        <v>1190</v>
      </c>
      <c r="D402" s="104">
        <v>0</v>
      </c>
    </row>
    <row r="403" spans="1:4" x14ac:dyDescent="0.25">
      <c r="A403" s="109" t="s">
        <v>660</v>
      </c>
      <c r="B403" s="2" t="s">
        <v>938</v>
      </c>
      <c r="C403" s="104" t="s">
        <v>1186</v>
      </c>
      <c r="D403" s="104">
        <v>0</v>
      </c>
    </row>
    <row r="404" spans="1:4" ht="27.6" x14ac:dyDescent="0.25">
      <c r="A404" s="109" t="s">
        <v>661</v>
      </c>
      <c r="B404" s="2" t="s">
        <v>939</v>
      </c>
      <c r="C404" s="104" t="s">
        <v>1195</v>
      </c>
      <c r="D404" s="104">
        <v>0</v>
      </c>
    </row>
    <row r="405" spans="1:4" ht="27.6" x14ac:dyDescent="0.25">
      <c r="A405" s="109" t="s">
        <v>662</v>
      </c>
      <c r="B405" s="2" t="s">
        <v>940</v>
      </c>
      <c r="C405" s="104">
        <v>0</v>
      </c>
      <c r="D405" s="104">
        <v>0</v>
      </c>
    </row>
    <row r="406" spans="1:4" x14ac:dyDescent="0.25">
      <c r="A406" s="109" t="s">
        <v>663</v>
      </c>
      <c r="B406" s="2" t="s">
        <v>941</v>
      </c>
      <c r="C406" s="104">
        <v>0</v>
      </c>
      <c r="D406" s="104">
        <v>0</v>
      </c>
    </row>
    <row r="407" spans="1:4" ht="27.6" x14ac:dyDescent="0.25">
      <c r="A407" s="109" t="s">
        <v>664</v>
      </c>
      <c r="B407" s="2" t="s">
        <v>942</v>
      </c>
      <c r="C407" s="104">
        <v>0</v>
      </c>
      <c r="D407" s="104">
        <v>0</v>
      </c>
    </row>
    <row r="408" spans="1:4" x14ac:dyDescent="0.25">
      <c r="A408" s="109" t="s">
        <v>665</v>
      </c>
      <c r="B408" s="2" t="s">
        <v>943</v>
      </c>
      <c r="C408" s="104">
        <v>0</v>
      </c>
      <c r="D408" s="104">
        <v>0</v>
      </c>
    </row>
    <row r="409" spans="1:4" ht="27.6" x14ac:dyDescent="0.25">
      <c r="A409" s="109" t="s">
        <v>666</v>
      </c>
      <c r="B409" s="2" t="s">
        <v>944</v>
      </c>
      <c r="C409" s="104">
        <v>0</v>
      </c>
      <c r="D409" s="104">
        <v>0</v>
      </c>
    </row>
    <row r="410" spans="1:4" ht="27.6" x14ac:dyDescent="0.25">
      <c r="A410" s="109" t="s">
        <v>947</v>
      </c>
      <c r="B410" s="2" t="s">
        <v>948</v>
      </c>
      <c r="C410" s="104">
        <v>0</v>
      </c>
      <c r="D410" s="104">
        <v>0</v>
      </c>
    </row>
    <row r="411" spans="1:4" x14ac:dyDescent="0.25">
      <c r="A411" s="109" t="s">
        <v>950</v>
      </c>
      <c r="B411" s="2" t="s">
        <v>952</v>
      </c>
      <c r="C411" s="104">
        <v>0</v>
      </c>
      <c r="D411" s="104">
        <v>0</v>
      </c>
    </row>
    <row r="412" spans="1:4" ht="27.6" x14ac:dyDescent="0.25">
      <c r="A412" s="109" t="s">
        <v>953</v>
      </c>
      <c r="B412" s="2" t="s">
        <v>954</v>
      </c>
      <c r="C412" s="104">
        <v>0</v>
      </c>
      <c r="D412" s="104">
        <v>0</v>
      </c>
    </row>
    <row r="413" spans="1:4" x14ac:dyDescent="0.25">
      <c r="A413" s="109" t="s">
        <v>955</v>
      </c>
      <c r="B413" s="2" t="s">
        <v>956</v>
      </c>
      <c r="C413" s="104">
        <v>0</v>
      </c>
      <c r="D413" s="104">
        <v>0</v>
      </c>
    </row>
    <row r="414" spans="1:4" ht="27.6" x14ac:dyDescent="0.25">
      <c r="A414" s="109" t="s">
        <v>958</v>
      </c>
      <c r="B414" s="2" t="s">
        <v>959</v>
      </c>
      <c r="C414" s="104">
        <v>0</v>
      </c>
      <c r="D414" s="104">
        <v>0</v>
      </c>
    </row>
    <row r="415" spans="1:4" x14ac:dyDescent="0.25">
      <c r="A415" s="109" t="s">
        <v>963</v>
      </c>
      <c r="B415" s="2" t="s">
        <v>965</v>
      </c>
      <c r="C415" s="104">
        <v>0</v>
      </c>
      <c r="D415" s="104">
        <v>0</v>
      </c>
    </row>
    <row r="416" spans="1:4" ht="27.6" x14ac:dyDescent="0.25">
      <c r="A416" s="109" t="s">
        <v>968</v>
      </c>
      <c r="B416" s="2" t="s">
        <v>969</v>
      </c>
      <c r="C416" s="104">
        <v>0</v>
      </c>
      <c r="D416" s="104">
        <v>0</v>
      </c>
    </row>
    <row r="417" spans="1:4" ht="27.6" x14ac:dyDescent="0.25">
      <c r="A417" s="109" t="s">
        <v>972</v>
      </c>
      <c r="B417" s="2" t="s">
        <v>973</v>
      </c>
      <c r="C417" s="104">
        <v>0</v>
      </c>
      <c r="D417" s="104">
        <v>0</v>
      </c>
    </row>
    <row r="418" spans="1:4" x14ac:dyDescent="0.25">
      <c r="A418" s="109" t="s">
        <v>974</v>
      </c>
      <c r="B418" s="2" t="s">
        <v>975</v>
      </c>
      <c r="C418" s="104">
        <v>0</v>
      </c>
      <c r="D418" s="104">
        <v>0</v>
      </c>
    </row>
    <row r="419" spans="1:4" x14ac:dyDescent="0.25">
      <c r="A419" s="109" t="s">
        <v>976</v>
      </c>
      <c r="B419" s="2" t="s">
        <v>1040</v>
      </c>
      <c r="C419" s="104" t="s">
        <v>1195</v>
      </c>
      <c r="D419" s="104">
        <v>0</v>
      </c>
    </row>
    <row r="420" spans="1:4" ht="27.6" x14ac:dyDescent="0.25">
      <c r="A420" s="109" t="s">
        <v>977</v>
      </c>
      <c r="B420" s="2" t="s">
        <v>1041</v>
      </c>
      <c r="C420" s="104" t="s">
        <v>1190</v>
      </c>
      <c r="D420" s="104">
        <v>0</v>
      </c>
    </row>
    <row r="421" spans="1:4" ht="41.4" x14ac:dyDescent="0.25">
      <c r="A421" s="109" t="s">
        <v>978</v>
      </c>
      <c r="B421" s="2" t="s">
        <v>1042</v>
      </c>
      <c r="C421" s="104" t="s">
        <v>1186</v>
      </c>
      <c r="D421" s="104">
        <v>0</v>
      </c>
    </row>
    <row r="422" spans="1:4" x14ac:dyDescent="0.25">
      <c r="A422" s="109" t="s">
        <v>979</v>
      </c>
      <c r="B422" s="2" t="s">
        <v>1043</v>
      </c>
      <c r="C422" s="104" t="s">
        <v>1191</v>
      </c>
      <c r="D422" s="104">
        <v>0</v>
      </c>
    </row>
    <row r="423" spans="1:4" ht="27.6" x14ac:dyDescent="0.25">
      <c r="A423" s="109" t="s">
        <v>980</v>
      </c>
      <c r="B423" s="2" t="s">
        <v>1044</v>
      </c>
      <c r="C423" s="104" t="s">
        <v>1195</v>
      </c>
      <c r="D423" s="104">
        <v>0</v>
      </c>
    </row>
    <row r="424" spans="1:4" x14ac:dyDescent="0.25">
      <c r="A424" s="109" t="s">
        <v>981</v>
      </c>
      <c r="B424" s="2" t="s">
        <v>1045</v>
      </c>
      <c r="C424" s="104" t="s">
        <v>1195</v>
      </c>
      <c r="D424" s="104">
        <v>0</v>
      </c>
    </row>
    <row r="425" spans="1:4" ht="27.6" x14ac:dyDescent="0.25">
      <c r="A425" s="109" t="s">
        <v>982</v>
      </c>
      <c r="B425" s="2" t="s">
        <v>1046</v>
      </c>
      <c r="C425" s="104" t="s">
        <v>1195</v>
      </c>
      <c r="D425" s="104">
        <v>0</v>
      </c>
    </row>
    <row r="426" spans="1:4" ht="27.6" x14ac:dyDescent="0.25">
      <c r="A426" s="109" t="s">
        <v>983</v>
      </c>
      <c r="B426" s="2" t="s">
        <v>1047</v>
      </c>
      <c r="C426" s="104" t="s">
        <v>1195</v>
      </c>
      <c r="D426" s="104">
        <v>0</v>
      </c>
    </row>
    <row r="427" spans="1:4" x14ac:dyDescent="0.25">
      <c r="A427" s="109" t="s">
        <v>984</v>
      </c>
      <c r="B427" s="2" t="s">
        <v>1048</v>
      </c>
      <c r="C427" s="104" t="s">
        <v>1195</v>
      </c>
      <c r="D427" s="104">
        <v>0</v>
      </c>
    </row>
    <row r="428" spans="1:4" ht="41.4" x14ac:dyDescent="0.25">
      <c r="A428" s="109" t="s">
        <v>985</v>
      </c>
      <c r="B428" s="2" t="s">
        <v>1049</v>
      </c>
      <c r="C428" s="104" t="s">
        <v>1195</v>
      </c>
      <c r="D428" s="104">
        <v>0</v>
      </c>
    </row>
    <row r="429" spans="1:4" ht="27.6" x14ac:dyDescent="0.25">
      <c r="A429" s="109" t="s">
        <v>986</v>
      </c>
      <c r="B429" s="2" t="s">
        <v>1050</v>
      </c>
      <c r="C429" s="104" t="s">
        <v>1195</v>
      </c>
      <c r="D429" s="104">
        <v>0</v>
      </c>
    </row>
    <row r="430" spans="1:4" ht="27.6" x14ac:dyDescent="0.25">
      <c r="A430" s="109" t="s">
        <v>987</v>
      </c>
      <c r="B430" s="2" t="s">
        <v>1051</v>
      </c>
      <c r="C430" s="104" t="s">
        <v>1195</v>
      </c>
      <c r="D430" s="104">
        <v>0</v>
      </c>
    </row>
    <row r="431" spans="1:4" ht="27.6" x14ac:dyDescent="0.25">
      <c r="A431" s="109" t="s">
        <v>988</v>
      </c>
      <c r="B431" s="2" t="s">
        <v>1052</v>
      </c>
      <c r="C431" s="104" t="s">
        <v>1195</v>
      </c>
      <c r="D431" s="104">
        <v>0</v>
      </c>
    </row>
    <row r="432" spans="1:4" ht="27.6" x14ac:dyDescent="0.25">
      <c r="A432" s="109" t="s">
        <v>989</v>
      </c>
      <c r="B432" s="2" t="s">
        <v>1053</v>
      </c>
      <c r="C432" s="104" t="s">
        <v>1190</v>
      </c>
      <c r="D432" s="104">
        <v>0</v>
      </c>
    </row>
    <row r="433" spans="1:4" x14ac:dyDescent="0.25">
      <c r="A433" s="109" t="s">
        <v>990</v>
      </c>
      <c r="B433" s="2" t="s">
        <v>1054</v>
      </c>
      <c r="C433" s="104" t="s">
        <v>1190</v>
      </c>
      <c r="D433" s="104">
        <v>0</v>
      </c>
    </row>
    <row r="434" spans="1:4" ht="27.6" x14ac:dyDescent="0.25">
      <c r="A434" s="109" t="s">
        <v>991</v>
      </c>
      <c r="B434" s="2" t="s">
        <v>1055</v>
      </c>
      <c r="C434" s="104" t="s">
        <v>1195</v>
      </c>
      <c r="D434" s="104">
        <v>0</v>
      </c>
    </row>
    <row r="435" spans="1:4" x14ac:dyDescent="0.25">
      <c r="A435" s="109" t="s">
        <v>992</v>
      </c>
      <c r="B435" s="2" t="s">
        <v>1056</v>
      </c>
      <c r="C435" s="104" t="s">
        <v>1195</v>
      </c>
      <c r="D435" s="104">
        <v>0</v>
      </c>
    </row>
    <row r="436" spans="1:4" x14ac:dyDescent="0.25">
      <c r="A436" s="109" t="s">
        <v>993</v>
      </c>
      <c r="B436" s="2" t="s">
        <v>1057</v>
      </c>
      <c r="C436" s="104" t="s">
        <v>1195</v>
      </c>
      <c r="D436" s="104">
        <v>0</v>
      </c>
    </row>
    <row r="437" spans="1:4" ht="27.6" x14ac:dyDescent="0.25">
      <c r="A437" s="109" t="s">
        <v>994</v>
      </c>
      <c r="B437" s="2" t="s">
        <v>1058</v>
      </c>
      <c r="C437" s="104" t="s">
        <v>1186</v>
      </c>
      <c r="D437" s="104">
        <v>0</v>
      </c>
    </row>
    <row r="438" spans="1:4" ht="27.6" x14ac:dyDescent="0.25">
      <c r="A438" s="109" t="s">
        <v>995</v>
      </c>
      <c r="B438" s="2" t="s">
        <v>1059</v>
      </c>
      <c r="C438" s="104" t="s">
        <v>1190</v>
      </c>
      <c r="D438" s="104">
        <v>0</v>
      </c>
    </row>
    <row r="439" spans="1:4" x14ac:dyDescent="0.25">
      <c r="A439" s="109" t="s">
        <v>996</v>
      </c>
      <c r="B439" s="2" t="s">
        <v>348</v>
      </c>
      <c r="C439" s="104" t="s">
        <v>1189</v>
      </c>
      <c r="D439" s="104">
        <v>0</v>
      </c>
    </row>
    <row r="440" spans="1:4" x14ac:dyDescent="0.25">
      <c r="A440" s="109" t="s">
        <v>997</v>
      </c>
      <c r="B440" s="2" t="s">
        <v>1060</v>
      </c>
      <c r="C440" s="104" t="s">
        <v>1191</v>
      </c>
      <c r="D440" s="104">
        <v>0</v>
      </c>
    </row>
    <row r="441" spans="1:4" ht="27.6" x14ac:dyDescent="0.25">
      <c r="A441" s="109" t="s">
        <v>998</v>
      </c>
      <c r="B441" s="2" t="s">
        <v>1061</v>
      </c>
      <c r="C441" s="104" t="s">
        <v>1186</v>
      </c>
      <c r="D441" s="104">
        <v>0</v>
      </c>
    </row>
    <row r="442" spans="1:4" x14ac:dyDescent="0.25">
      <c r="A442" s="109" t="s">
        <v>999</v>
      </c>
      <c r="B442" s="2" t="s">
        <v>1062</v>
      </c>
      <c r="C442" s="104" t="s">
        <v>1186</v>
      </c>
      <c r="D442" s="104">
        <v>0</v>
      </c>
    </row>
    <row r="443" spans="1:4" ht="27.6" x14ac:dyDescent="0.25">
      <c r="A443" s="109" t="s">
        <v>1000</v>
      </c>
      <c r="B443" s="2" t="s">
        <v>1063</v>
      </c>
      <c r="C443" s="104" t="s">
        <v>1190</v>
      </c>
      <c r="D443" s="104">
        <v>0</v>
      </c>
    </row>
    <row r="444" spans="1:4" ht="27.6" x14ac:dyDescent="0.25">
      <c r="A444" s="109" t="s">
        <v>1001</v>
      </c>
      <c r="B444" s="2" t="s">
        <v>1064</v>
      </c>
      <c r="C444" s="104" t="s">
        <v>1190</v>
      </c>
      <c r="D444" s="104">
        <v>0</v>
      </c>
    </row>
    <row r="445" spans="1:4" ht="27.6" x14ac:dyDescent="0.25">
      <c r="A445" s="109" t="s">
        <v>1002</v>
      </c>
      <c r="B445" s="2" t="s">
        <v>1065</v>
      </c>
      <c r="C445" s="104" t="s">
        <v>1190</v>
      </c>
      <c r="D445" s="104">
        <v>0</v>
      </c>
    </row>
    <row r="446" spans="1:4" ht="27.6" x14ac:dyDescent="0.25">
      <c r="A446" s="109" t="s">
        <v>1003</v>
      </c>
      <c r="B446" s="2" t="s">
        <v>1066</v>
      </c>
      <c r="C446" s="104" t="s">
        <v>1190</v>
      </c>
      <c r="D446" s="104">
        <v>0</v>
      </c>
    </row>
    <row r="447" spans="1:4" ht="27.6" x14ac:dyDescent="0.25">
      <c r="A447" s="109" t="s">
        <v>1004</v>
      </c>
      <c r="B447" s="2" t="s">
        <v>1067</v>
      </c>
      <c r="C447" s="104" t="s">
        <v>1190</v>
      </c>
      <c r="D447" s="104">
        <v>0</v>
      </c>
    </row>
    <row r="448" spans="1:4" x14ac:dyDescent="0.25">
      <c r="A448" s="109" t="s">
        <v>1005</v>
      </c>
      <c r="B448" s="2" t="s">
        <v>1068</v>
      </c>
      <c r="C448" s="104" t="s">
        <v>1190</v>
      </c>
      <c r="D448" s="104">
        <v>0</v>
      </c>
    </row>
    <row r="449" spans="1:4" x14ac:dyDescent="0.25">
      <c r="A449" s="109" t="s">
        <v>1006</v>
      </c>
      <c r="B449" s="2" t="s">
        <v>1069</v>
      </c>
      <c r="C449" s="104" t="s">
        <v>1195</v>
      </c>
      <c r="D449" s="104">
        <v>0</v>
      </c>
    </row>
    <row r="450" spans="1:4" ht="27.6" x14ac:dyDescent="0.25">
      <c r="A450" s="109" t="s">
        <v>1007</v>
      </c>
      <c r="B450" s="2" t="s">
        <v>1070</v>
      </c>
      <c r="C450" s="104" t="s">
        <v>1195</v>
      </c>
      <c r="D450" s="104">
        <v>0</v>
      </c>
    </row>
    <row r="451" spans="1:4" ht="27.6" x14ac:dyDescent="0.25">
      <c r="A451" s="109" t="s">
        <v>1008</v>
      </c>
      <c r="B451" s="2" t="s">
        <v>1071</v>
      </c>
      <c r="C451" s="104" t="s">
        <v>1195</v>
      </c>
      <c r="D451" s="104">
        <v>0</v>
      </c>
    </row>
    <row r="452" spans="1:4" ht="27.6" x14ac:dyDescent="0.25">
      <c r="A452" s="109" t="s">
        <v>1009</v>
      </c>
      <c r="B452" s="2" t="s">
        <v>1072</v>
      </c>
      <c r="C452" s="104" t="s">
        <v>1195</v>
      </c>
      <c r="D452" s="104">
        <v>0</v>
      </c>
    </row>
    <row r="453" spans="1:4" ht="27.6" x14ac:dyDescent="0.25">
      <c r="A453" s="109" t="s">
        <v>1010</v>
      </c>
      <c r="B453" s="2" t="s">
        <v>1073</v>
      </c>
      <c r="C453" s="104" t="s">
        <v>1195</v>
      </c>
      <c r="D453" s="104">
        <v>0</v>
      </c>
    </row>
    <row r="454" spans="1:4" ht="27.6" x14ac:dyDescent="0.25">
      <c r="A454" s="109" t="s">
        <v>1011</v>
      </c>
      <c r="B454" s="2" t="s">
        <v>1074</v>
      </c>
      <c r="C454" s="104" t="s">
        <v>1195</v>
      </c>
      <c r="D454" s="104">
        <v>0</v>
      </c>
    </row>
    <row r="455" spans="1:4" x14ac:dyDescent="0.25">
      <c r="A455" s="109" t="s">
        <v>1012</v>
      </c>
      <c r="B455" s="2" t="s">
        <v>1075</v>
      </c>
      <c r="C455" s="104" t="s">
        <v>1195</v>
      </c>
      <c r="D455" s="104">
        <v>0</v>
      </c>
    </row>
    <row r="456" spans="1:4" ht="27.6" x14ac:dyDescent="0.25">
      <c r="A456" s="109" t="s">
        <v>1013</v>
      </c>
      <c r="B456" s="2" t="s">
        <v>1076</v>
      </c>
      <c r="C456" s="104" t="s">
        <v>1195</v>
      </c>
      <c r="D456" s="104">
        <v>0</v>
      </c>
    </row>
    <row r="457" spans="1:4" ht="27.6" x14ac:dyDescent="0.25">
      <c r="A457" s="109" t="s">
        <v>1014</v>
      </c>
      <c r="B457" s="2" t="s">
        <v>1077</v>
      </c>
      <c r="C457" s="104" t="s">
        <v>1195</v>
      </c>
      <c r="D457" s="104">
        <v>0</v>
      </c>
    </row>
    <row r="458" spans="1:4" ht="27.6" x14ac:dyDescent="0.25">
      <c r="A458" s="109" t="s">
        <v>1015</v>
      </c>
      <c r="B458" s="2" t="s">
        <v>1078</v>
      </c>
      <c r="C458" s="104" t="s">
        <v>1195</v>
      </c>
      <c r="D458" s="104">
        <v>0</v>
      </c>
    </row>
    <row r="459" spans="1:4" ht="27.6" x14ac:dyDescent="0.25">
      <c r="A459" s="109" t="s">
        <v>1016</v>
      </c>
      <c r="B459" s="2" t="s">
        <v>1079</v>
      </c>
      <c r="C459" s="104" t="s">
        <v>1195</v>
      </c>
      <c r="D459" s="104">
        <v>0</v>
      </c>
    </row>
    <row r="460" spans="1:4" ht="27.6" x14ac:dyDescent="0.25">
      <c r="A460" s="109" t="s">
        <v>1017</v>
      </c>
      <c r="B460" s="2" t="s">
        <v>1080</v>
      </c>
      <c r="C460" s="104" t="s">
        <v>1195</v>
      </c>
      <c r="D460" s="104">
        <v>0</v>
      </c>
    </row>
    <row r="461" spans="1:4" ht="27.6" x14ac:dyDescent="0.25">
      <c r="A461" s="109" t="s">
        <v>1018</v>
      </c>
      <c r="B461" s="2" t="s">
        <v>1081</v>
      </c>
      <c r="C461" s="104" t="s">
        <v>1195</v>
      </c>
      <c r="D461" s="104">
        <v>0</v>
      </c>
    </row>
    <row r="462" spans="1:4" ht="27.6" x14ac:dyDescent="0.25">
      <c r="A462" s="109" t="s">
        <v>1019</v>
      </c>
      <c r="B462" s="2" t="s">
        <v>1082</v>
      </c>
      <c r="C462" s="104" t="s">
        <v>1195</v>
      </c>
      <c r="D462" s="104">
        <v>0</v>
      </c>
    </row>
    <row r="463" spans="1:4" x14ac:dyDescent="0.25">
      <c r="A463" s="109" t="s">
        <v>1020</v>
      </c>
      <c r="B463" s="2" t="s">
        <v>1083</v>
      </c>
      <c r="C463" s="104" t="s">
        <v>1195</v>
      </c>
      <c r="D463" s="104">
        <v>0</v>
      </c>
    </row>
    <row r="464" spans="1:4" ht="27.6" x14ac:dyDescent="0.25">
      <c r="A464" s="109" t="s">
        <v>1021</v>
      </c>
      <c r="B464" s="2" t="s">
        <v>1084</v>
      </c>
      <c r="C464" s="104" t="s">
        <v>1195</v>
      </c>
      <c r="D464" s="104">
        <v>0</v>
      </c>
    </row>
    <row r="465" spans="1:4" ht="27.6" x14ac:dyDescent="0.25">
      <c r="A465" s="109" t="s">
        <v>1022</v>
      </c>
      <c r="B465" s="2" t="s">
        <v>1085</v>
      </c>
      <c r="C465" s="104" t="s">
        <v>1195</v>
      </c>
      <c r="D465" s="104">
        <v>0</v>
      </c>
    </row>
    <row r="466" spans="1:4" x14ac:dyDescent="0.25">
      <c r="A466" s="109" t="s">
        <v>1023</v>
      </c>
      <c r="B466" s="2" t="s">
        <v>1086</v>
      </c>
      <c r="C466" s="104" t="s">
        <v>1195</v>
      </c>
      <c r="D466" s="104">
        <v>0</v>
      </c>
    </row>
    <row r="467" spans="1:4" ht="27.6" x14ac:dyDescent="0.25">
      <c r="A467" s="109" t="s">
        <v>1024</v>
      </c>
      <c r="B467" s="2" t="s">
        <v>1087</v>
      </c>
      <c r="C467" s="104" t="s">
        <v>1195</v>
      </c>
      <c r="D467" s="104">
        <v>0</v>
      </c>
    </row>
    <row r="468" spans="1:4" ht="27.6" x14ac:dyDescent="0.25">
      <c r="A468" s="109" t="s">
        <v>1025</v>
      </c>
      <c r="B468" s="2" t="s">
        <v>1088</v>
      </c>
      <c r="C468" s="104" t="s">
        <v>1195</v>
      </c>
      <c r="D468" s="104">
        <v>0</v>
      </c>
    </row>
    <row r="469" spans="1:4" x14ac:dyDescent="0.25">
      <c r="A469" s="109" t="s">
        <v>1026</v>
      </c>
      <c r="B469" s="2" t="s">
        <v>1089</v>
      </c>
      <c r="C469" s="104" t="s">
        <v>1186</v>
      </c>
      <c r="D469" s="104">
        <v>0</v>
      </c>
    </row>
    <row r="470" spans="1:4" ht="27.6" x14ac:dyDescent="0.25">
      <c r="A470" s="109" t="s">
        <v>1027</v>
      </c>
      <c r="B470" s="2" t="s">
        <v>1090</v>
      </c>
      <c r="C470" s="104" t="s">
        <v>1190</v>
      </c>
      <c r="D470" s="104">
        <v>0</v>
      </c>
    </row>
    <row r="471" spans="1:4" ht="27.6" x14ac:dyDescent="0.25">
      <c r="A471" s="109" t="s">
        <v>1028</v>
      </c>
      <c r="B471" s="2" t="s">
        <v>1091</v>
      </c>
      <c r="C471" s="104" t="s">
        <v>1190</v>
      </c>
      <c r="D471" s="104">
        <v>0</v>
      </c>
    </row>
    <row r="472" spans="1:4" x14ac:dyDescent="0.25">
      <c r="A472" s="109" t="s">
        <v>1029</v>
      </c>
      <c r="B472" s="2" t="s">
        <v>1092</v>
      </c>
      <c r="C472" s="104" t="s">
        <v>1195</v>
      </c>
      <c r="D472" s="104">
        <v>0</v>
      </c>
    </row>
    <row r="473" spans="1:4" x14ac:dyDescent="0.25">
      <c r="A473" s="109" t="s">
        <v>1030</v>
      </c>
      <c r="B473" s="2" t="s">
        <v>1093</v>
      </c>
      <c r="C473" s="104" t="s">
        <v>1195</v>
      </c>
      <c r="D473" s="104">
        <v>0</v>
      </c>
    </row>
    <row r="474" spans="1:4" ht="27.6" x14ac:dyDescent="0.25">
      <c r="A474" s="109" t="s">
        <v>1031</v>
      </c>
      <c r="B474" s="2" t="s">
        <v>1094</v>
      </c>
      <c r="C474" s="104" t="s">
        <v>1195</v>
      </c>
      <c r="D474" s="104">
        <v>0</v>
      </c>
    </row>
    <row r="475" spans="1:4" x14ac:dyDescent="0.25">
      <c r="A475" s="109" t="s">
        <v>1032</v>
      </c>
      <c r="B475" s="2" t="s">
        <v>1095</v>
      </c>
      <c r="C475" s="104" t="s">
        <v>1195</v>
      </c>
      <c r="D475" s="104">
        <v>0</v>
      </c>
    </row>
    <row r="476" spans="1:4" ht="27.6" x14ac:dyDescent="0.25">
      <c r="A476" s="109" t="s">
        <v>1033</v>
      </c>
      <c r="B476" s="2" t="s">
        <v>1096</v>
      </c>
      <c r="C476" s="104" t="s">
        <v>1195</v>
      </c>
      <c r="D476" s="104">
        <v>0</v>
      </c>
    </row>
    <row r="477" spans="1:4" x14ac:dyDescent="0.25">
      <c r="A477" s="109" t="s">
        <v>1034</v>
      </c>
      <c r="B477" s="2" t="s">
        <v>1097</v>
      </c>
      <c r="C477" s="104" t="s">
        <v>1195</v>
      </c>
      <c r="D477" s="104">
        <v>0</v>
      </c>
    </row>
    <row r="478" spans="1:4" ht="27.6" x14ac:dyDescent="0.25">
      <c r="A478" s="109" t="s">
        <v>1035</v>
      </c>
      <c r="B478" s="2" t="s">
        <v>1098</v>
      </c>
      <c r="C478" s="104" t="s">
        <v>1195</v>
      </c>
      <c r="D478" s="104">
        <v>0</v>
      </c>
    </row>
    <row r="479" spans="1:4" ht="27.6" x14ac:dyDescent="0.25">
      <c r="A479" s="109" t="s">
        <v>1036</v>
      </c>
      <c r="B479" s="2" t="s">
        <v>1099</v>
      </c>
      <c r="C479" s="104" t="s">
        <v>1195</v>
      </c>
      <c r="D479" s="104">
        <v>0</v>
      </c>
    </row>
    <row r="480" spans="1:4" ht="27.6" x14ac:dyDescent="0.25">
      <c r="A480" s="109" t="s">
        <v>1037</v>
      </c>
      <c r="B480" s="2" t="s">
        <v>1100</v>
      </c>
      <c r="C480" s="104" t="s">
        <v>1195</v>
      </c>
      <c r="D480" s="104">
        <v>0</v>
      </c>
    </row>
    <row r="481" spans="1:4" ht="27.6" x14ac:dyDescent="0.25">
      <c r="A481" s="109" t="s">
        <v>1038</v>
      </c>
      <c r="B481" s="2" t="s">
        <v>1101</v>
      </c>
      <c r="C481" s="104" t="s">
        <v>1195</v>
      </c>
      <c r="D481" s="104">
        <v>0</v>
      </c>
    </row>
    <row r="482" spans="1:4" ht="27.6" x14ac:dyDescent="0.25">
      <c r="A482" s="109" t="s">
        <v>1039</v>
      </c>
      <c r="B482" s="2" t="s">
        <v>1102</v>
      </c>
      <c r="C482" s="104" t="s">
        <v>1189</v>
      </c>
      <c r="D482" s="104" t="s">
        <v>1188</v>
      </c>
    </row>
    <row r="483" spans="1:4" x14ac:dyDescent="0.25">
      <c r="A483" s="109" t="s">
        <v>1103</v>
      </c>
      <c r="B483" s="2" t="s">
        <v>1106</v>
      </c>
      <c r="C483" s="104">
        <v>0</v>
      </c>
      <c r="D483" s="104" t="s">
        <v>1177</v>
      </c>
    </row>
    <row r="484" spans="1:4" ht="27.6" x14ac:dyDescent="0.25">
      <c r="A484" s="109" t="s">
        <v>1104</v>
      </c>
      <c r="B484" s="2" t="s">
        <v>1107</v>
      </c>
      <c r="C484" s="104">
        <v>0</v>
      </c>
      <c r="D484" s="104" t="s">
        <v>1188</v>
      </c>
    </row>
    <row r="485" spans="1:4" ht="27.6" x14ac:dyDescent="0.25">
      <c r="A485" s="109" t="s">
        <v>1105</v>
      </c>
      <c r="B485" s="2" t="s">
        <v>1108</v>
      </c>
      <c r="C485" s="104">
        <v>0</v>
      </c>
      <c r="D485" s="104" t="s">
        <v>1178</v>
      </c>
    </row>
    <row r="486" spans="1:4" ht="27.6" x14ac:dyDescent="0.25">
      <c r="A486" s="109" t="s">
        <v>1109</v>
      </c>
      <c r="B486" s="2" t="s">
        <v>1110</v>
      </c>
      <c r="C486" s="104">
        <v>0</v>
      </c>
      <c r="D486" s="104">
        <v>0</v>
      </c>
    </row>
    <row r="487" spans="1:4" x14ac:dyDescent="0.25">
      <c r="A487" s="109" t="s">
        <v>1111</v>
      </c>
      <c r="B487" s="2" t="s">
        <v>1112</v>
      </c>
      <c r="C487" s="104">
        <v>0</v>
      </c>
      <c r="D487" s="104">
        <v>0</v>
      </c>
    </row>
    <row r="488" spans="1:4" ht="27.6" x14ac:dyDescent="0.25">
      <c r="A488" s="109" t="s">
        <v>1115</v>
      </c>
      <c r="B488" s="2" t="s">
        <v>1116</v>
      </c>
      <c r="C488" s="104">
        <v>0</v>
      </c>
      <c r="D488" s="104">
        <v>0</v>
      </c>
    </row>
    <row r="489" spans="1:4" ht="27.6" x14ac:dyDescent="0.25">
      <c r="A489" s="109" t="s">
        <v>1117</v>
      </c>
      <c r="B489" s="2" t="s">
        <v>1118</v>
      </c>
      <c r="C489" s="104">
        <v>0</v>
      </c>
      <c r="D489" s="104">
        <v>0</v>
      </c>
    </row>
    <row r="490" spans="1:4" ht="27.6" x14ac:dyDescent="0.25">
      <c r="A490" s="109" t="s">
        <v>1123</v>
      </c>
      <c r="B490" s="2" t="s">
        <v>1124</v>
      </c>
      <c r="C490" s="104">
        <v>0</v>
      </c>
      <c r="D490" s="104">
        <v>0</v>
      </c>
    </row>
    <row r="491" spans="1:4" ht="27.6" x14ac:dyDescent="0.25">
      <c r="A491" s="109" t="s">
        <v>1125</v>
      </c>
      <c r="B491" s="2" t="s">
        <v>1126</v>
      </c>
      <c r="C491" s="104">
        <v>0</v>
      </c>
      <c r="D491" s="104">
        <v>0</v>
      </c>
    </row>
    <row r="492" spans="1:4" x14ac:dyDescent="0.25">
      <c r="A492" s="109" t="s">
        <v>1127</v>
      </c>
      <c r="B492" s="2" t="s">
        <v>1128</v>
      </c>
      <c r="C492" s="104">
        <v>0</v>
      </c>
      <c r="D492" s="104">
        <v>0</v>
      </c>
    </row>
    <row r="493" spans="1:4" x14ac:dyDescent="0.25">
      <c r="A493" s="109" t="s">
        <v>1129</v>
      </c>
      <c r="B493" s="2" t="s">
        <v>1130</v>
      </c>
      <c r="C493" s="104">
        <v>0</v>
      </c>
      <c r="D493" s="104">
        <v>0</v>
      </c>
    </row>
    <row r="494" spans="1:4" ht="27.6" x14ac:dyDescent="0.25">
      <c r="A494" s="109" t="s">
        <v>1131</v>
      </c>
      <c r="B494" s="2" t="s">
        <v>1132</v>
      </c>
      <c r="C494" s="104">
        <v>0</v>
      </c>
      <c r="D494" s="104">
        <v>0</v>
      </c>
    </row>
    <row r="495" spans="1:4" ht="27.6" x14ac:dyDescent="0.25">
      <c r="A495" s="109" t="s">
        <v>1134</v>
      </c>
      <c r="B495" s="2" t="s">
        <v>1136</v>
      </c>
      <c r="C495" s="104">
        <v>0</v>
      </c>
      <c r="D495" s="104">
        <v>0</v>
      </c>
    </row>
    <row r="496" spans="1:4" x14ac:dyDescent="0.25">
      <c r="A496" s="109" t="s">
        <v>1139</v>
      </c>
      <c r="B496" s="2" t="s">
        <v>1140</v>
      </c>
      <c r="C496" s="104">
        <v>0</v>
      </c>
      <c r="D496" s="104">
        <v>0</v>
      </c>
    </row>
    <row r="497" spans="1:4" ht="27.6" x14ac:dyDescent="0.25">
      <c r="A497" s="109" t="s">
        <v>1141</v>
      </c>
      <c r="B497" s="2" t="s">
        <v>1142</v>
      </c>
      <c r="C497" s="104">
        <v>0</v>
      </c>
      <c r="D497" s="104">
        <v>0</v>
      </c>
    </row>
    <row r="498" spans="1:4" ht="27.6" x14ac:dyDescent="0.25">
      <c r="A498" s="109" t="s">
        <v>1144</v>
      </c>
      <c r="B498" s="2" t="s">
        <v>1145</v>
      </c>
      <c r="C498" s="104">
        <v>0</v>
      </c>
      <c r="D498" s="104">
        <v>0</v>
      </c>
    </row>
    <row r="499" spans="1:4" x14ac:dyDescent="0.25">
      <c r="A499" s="109"/>
      <c r="B499" s="2"/>
      <c r="C499" s="104">
        <v>0</v>
      </c>
      <c r="D499" s="104">
        <v>0</v>
      </c>
    </row>
    <row r="500" spans="1:4" x14ac:dyDescent="0.25">
      <c r="A500" s="109"/>
      <c r="B500" s="2"/>
      <c r="C500" s="104">
        <v>0</v>
      </c>
      <c r="D500" s="104">
        <v>0</v>
      </c>
    </row>
    <row r="501" spans="1:4" x14ac:dyDescent="0.25">
      <c r="A501" s="109"/>
      <c r="B501" s="2"/>
      <c r="C501" s="104">
        <v>0</v>
      </c>
      <c r="D501" s="104">
        <v>0</v>
      </c>
    </row>
    <row r="502" spans="1:4" x14ac:dyDescent="0.25">
      <c r="A502" s="109"/>
      <c r="B502" s="2"/>
      <c r="C502" s="104">
        <v>0</v>
      </c>
      <c r="D502" s="104">
        <v>0</v>
      </c>
    </row>
    <row r="503" spans="1:4" x14ac:dyDescent="0.25">
      <c r="A503" s="109"/>
      <c r="B503" s="2"/>
      <c r="C503" s="104">
        <v>0</v>
      </c>
      <c r="D503" s="104">
        <v>0</v>
      </c>
    </row>
    <row r="504" spans="1:4" x14ac:dyDescent="0.25">
      <c r="A504" s="109"/>
      <c r="B504" s="2"/>
      <c r="C504" s="104">
        <v>0</v>
      </c>
      <c r="D504" s="104">
        <v>0</v>
      </c>
    </row>
    <row r="505" spans="1:4" x14ac:dyDescent="0.25">
      <c r="A505" s="109"/>
      <c r="B505" s="2"/>
      <c r="C505" s="104">
        <v>0</v>
      </c>
      <c r="D505" s="104">
        <v>0</v>
      </c>
    </row>
    <row r="506" spans="1:4" x14ac:dyDescent="0.25">
      <c r="A506" s="109"/>
      <c r="B506" s="2"/>
      <c r="C506" s="104">
        <v>0</v>
      </c>
      <c r="D506" s="104">
        <v>0</v>
      </c>
    </row>
    <row r="507" spans="1:4" x14ac:dyDescent="0.25">
      <c r="A507" s="109"/>
      <c r="B507" s="2"/>
      <c r="C507" s="104">
        <v>0</v>
      </c>
      <c r="D507" s="104">
        <v>0</v>
      </c>
    </row>
    <row r="508" spans="1:4" x14ac:dyDescent="0.25">
      <c r="A508" s="109"/>
      <c r="B508" s="2"/>
      <c r="C508" s="104">
        <v>0</v>
      </c>
      <c r="D508" s="104">
        <v>0</v>
      </c>
    </row>
    <row r="509" spans="1:4" x14ac:dyDescent="0.25">
      <c r="A509" s="109"/>
      <c r="B509" s="2"/>
      <c r="C509" s="104">
        <v>0</v>
      </c>
      <c r="D509" s="104">
        <v>0</v>
      </c>
    </row>
    <row r="510" spans="1:4" x14ac:dyDescent="0.25">
      <c r="A510" s="109"/>
      <c r="B510" s="2"/>
      <c r="C510" s="104">
        <v>0</v>
      </c>
      <c r="D510" s="104">
        <v>0</v>
      </c>
    </row>
    <row r="511" spans="1:4" x14ac:dyDescent="0.25">
      <c r="A511" s="109"/>
      <c r="B511" s="2"/>
      <c r="C511" s="104">
        <v>0</v>
      </c>
      <c r="D511" s="104">
        <v>0</v>
      </c>
    </row>
    <row r="512" spans="1:4" x14ac:dyDescent="0.25">
      <c r="A512" s="109"/>
      <c r="B512" s="2"/>
      <c r="C512" s="104">
        <v>0</v>
      </c>
      <c r="D512" s="104">
        <v>0</v>
      </c>
    </row>
    <row r="513" spans="1:4" x14ac:dyDescent="0.25">
      <c r="A513" s="109"/>
      <c r="B513" s="2"/>
      <c r="C513" s="104">
        <v>0</v>
      </c>
      <c r="D513" s="104">
        <v>0</v>
      </c>
    </row>
    <row r="514" spans="1:4" x14ac:dyDescent="0.25">
      <c r="A514" s="109"/>
      <c r="B514" s="2"/>
      <c r="C514" s="104">
        <v>0</v>
      </c>
      <c r="D514" s="104">
        <v>0</v>
      </c>
    </row>
    <row r="515" spans="1:4" x14ac:dyDescent="0.25">
      <c r="A515" s="109"/>
      <c r="B515" s="2"/>
      <c r="C515" s="104">
        <v>0</v>
      </c>
      <c r="D515" s="104">
        <v>0</v>
      </c>
    </row>
    <row r="516" spans="1:4" x14ac:dyDescent="0.25">
      <c r="A516" s="109"/>
      <c r="B516" s="2"/>
      <c r="C516" s="104">
        <v>0</v>
      </c>
      <c r="D516" s="104">
        <v>0</v>
      </c>
    </row>
    <row r="517" spans="1:4" x14ac:dyDescent="0.25">
      <c r="A517" s="109"/>
      <c r="B517" s="2"/>
      <c r="C517" s="104">
        <v>0</v>
      </c>
      <c r="D517" s="104">
        <v>0</v>
      </c>
    </row>
    <row r="518" spans="1:4" x14ac:dyDescent="0.25">
      <c r="A518" s="109"/>
      <c r="B518" s="2"/>
      <c r="C518" s="104">
        <v>0</v>
      </c>
      <c r="D518" s="104">
        <v>0</v>
      </c>
    </row>
    <row r="519" spans="1:4" x14ac:dyDescent="0.25">
      <c r="A519" s="109"/>
      <c r="B519" s="2"/>
      <c r="C519" s="104">
        <v>0</v>
      </c>
      <c r="D519" s="104">
        <v>0</v>
      </c>
    </row>
    <row r="520" spans="1:4" x14ac:dyDescent="0.25">
      <c r="A520" s="109"/>
      <c r="B520" s="2"/>
      <c r="C520" s="104">
        <v>0</v>
      </c>
      <c r="D520" s="104">
        <v>0</v>
      </c>
    </row>
    <row r="521" spans="1:4" x14ac:dyDescent="0.25">
      <c r="A521" s="109"/>
      <c r="B521" s="2"/>
      <c r="C521" s="104">
        <v>0</v>
      </c>
      <c r="D521" s="104">
        <v>0</v>
      </c>
    </row>
    <row r="522" spans="1:4" x14ac:dyDescent="0.25">
      <c r="A522" s="109"/>
      <c r="B522" s="2"/>
      <c r="C522" s="104">
        <v>0</v>
      </c>
      <c r="D522" s="104">
        <v>0</v>
      </c>
    </row>
    <row r="523" spans="1:4" x14ac:dyDescent="0.25">
      <c r="A523" s="109"/>
      <c r="B523" s="2"/>
      <c r="C523" s="104">
        <v>0</v>
      </c>
      <c r="D523" s="104">
        <v>0</v>
      </c>
    </row>
    <row r="524" spans="1:4" x14ac:dyDescent="0.25">
      <c r="A524" s="109"/>
      <c r="B524" s="2"/>
      <c r="C524" s="104">
        <v>0</v>
      </c>
      <c r="D524" s="104">
        <v>0</v>
      </c>
    </row>
    <row r="525" spans="1:4" x14ac:dyDescent="0.25">
      <c r="A525" s="109"/>
      <c r="B525" s="2"/>
      <c r="C525" s="104">
        <v>0</v>
      </c>
      <c r="D525" s="104">
        <v>0</v>
      </c>
    </row>
    <row r="526" spans="1:4" x14ac:dyDescent="0.25">
      <c r="A526" s="109"/>
      <c r="B526" s="2"/>
      <c r="C526" s="104">
        <v>0</v>
      </c>
      <c r="D526" s="104">
        <v>0</v>
      </c>
    </row>
    <row r="527" spans="1:4" x14ac:dyDescent="0.25">
      <c r="A527" s="109"/>
      <c r="B527" s="2"/>
      <c r="C527" s="104">
        <v>0</v>
      </c>
      <c r="D527" s="104">
        <v>0</v>
      </c>
    </row>
    <row r="528" spans="1:4" x14ac:dyDescent="0.25">
      <c r="A528" s="109"/>
      <c r="B528" s="2"/>
      <c r="C528" s="104">
        <v>0</v>
      </c>
      <c r="D528" s="104">
        <v>0</v>
      </c>
    </row>
    <row r="529" spans="1:4" x14ac:dyDescent="0.25">
      <c r="A529" s="109"/>
      <c r="B529" s="2"/>
      <c r="C529" s="104">
        <v>0</v>
      </c>
      <c r="D529" s="104">
        <v>0</v>
      </c>
    </row>
    <row r="530" spans="1:4" x14ac:dyDescent="0.25">
      <c r="A530" s="109"/>
      <c r="B530" s="2"/>
      <c r="C530" s="104">
        <v>0</v>
      </c>
      <c r="D530" s="104">
        <v>0</v>
      </c>
    </row>
    <row r="531" spans="1:4" x14ac:dyDescent="0.25">
      <c r="A531" s="109"/>
      <c r="B531" s="2"/>
      <c r="C531" s="104">
        <v>0</v>
      </c>
      <c r="D531" s="104">
        <v>0</v>
      </c>
    </row>
    <row r="532" spans="1:4" x14ac:dyDescent="0.25">
      <c r="A532" s="109"/>
      <c r="B532" s="2"/>
      <c r="C532" s="104">
        <v>0</v>
      </c>
      <c r="D532" s="104">
        <v>0</v>
      </c>
    </row>
    <row r="533" spans="1:4" x14ac:dyDescent="0.25">
      <c r="A533" s="109"/>
      <c r="B533" s="2"/>
      <c r="C533" s="104">
        <v>0</v>
      </c>
      <c r="D533" s="104">
        <v>0</v>
      </c>
    </row>
    <row r="534" spans="1:4" x14ac:dyDescent="0.25">
      <c r="A534" s="109"/>
      <c r="B534" s="2"/>
      <c r="C534" s="104">
        <v>0</v>
      </c>
      <c r="D534" s="104">
        <v>0</v>
      </c>
    </row>
    <row r="535" spans="1:4" x14ac:dyDescent="0.25">
      <c r="A535" s="109"/>
      <c r="B535" s="2"/>
      <c r="C535" s="104">
        <v>0</v>
      </c>
      <c r="D535" s="104">
        <v>0</v>
      </c>
    </row>
    <row r="536" spans="1:4" x14ac:dyDescent="0.25">
      <c r="A536" s="109"/>
      <c r="B536" s="2"/>
      <c r="C536" s="104">
        <v>0</v>
      </c>
      <c r="D536" s="104">
        <v>0</v>
      </c>
    </row>
    <row r="537" spans="1:4" x14ac:dyDescent="0.25">
      <c r="A537" s="109"/>
      <c r="B537" s="2"/>
      <c r="C537" s="104">
        <v>0</v>
      </c>
      <c r="D537" s="104">
        <v>0</v>
      </c>
    </row>
    <row r="538" spans="1:4" x14ac:dyDescent="0.25">
      <c r="A538" s="109"/>
      <c r="B538" s="2"/>
      <c r="C538" s="104">
        <v>0</v>
      </c>
      <c r="D538" s="104">
        <v>0</v>
      </c>
    </row>
    <row r="539" spans="1:4" x14ac:dyDescent="0.25">
      <c r="A539" s="109"/>
      <c r="B539" s="2"/>
      <c r="C539" s="104">
        <v>0</v>
      </c>
      <c r="D539" s="104">
        <v>0</v>
      </c>
    </row>
    <row r="540" spans="1:4" x14ac:dyDescent="0.25">
      <c r="A540" s="109"/>
      <c r="B540" s="2"/>
      <c r="C540" s="104">
        <v>0</v>
      </c>
      <c r="D540" s="104">
        <v>0</v>
      </c>
    </row>
    <row r="541" spans="1:4" x14ac:dyDescent="0.25">
      <c r="A541" s="109"/>
      <c r="B541" s="2"/>
      <c r="C541" s="104">
        <v>0</v>
      </c>
      <c r="D541" s="104">
        <v>0</v>
      </c>
    </row>
    <row r="542" spans="1:4" x14ac:dyDescent="0.25">
      <c r="A542" s="109"/>
      <c r="B542" s="2"/>
      <c r="C542" s="104">
        <v>0</v>
      </c>
      <c r="D542" s="104">
        <v>0</v>
      </c>
    </row>
    <row r="543" spans="1:4" x14ac:dyDescent="0.25">
      <c r="A543" s="109"/>
      <c r="B543" s="2"/>
      <c r="C543" s="104">
        <v>0</v>
      </c>
      <c r="D543" s="104">
        <v>0</v>
      </c>
    </row>
    <row r="544" spans="1:4" x14ac:dyDescent="0.25">
      <c r="A544" s="109"/>
      <c r="B544" s="2"/>
      <c r="C544" s="104">
        <v>0</v>
      </c>
      <c r="D544" s="104">
        <v>0</v>
      </c>
    </row>
    <row r="545" spans="1:4" x14ac:dyDescent="0.25">
      <c r="A545" s="109"/>
      <c r="B545" s="2"/>
      <c r="C545" s="104">
        <v>0</v>
      </c>
      <c r="D545" s="104">
        <v>0</v>
      </c>
    </row>
    <row r="546" spans="1:4" x14ac:dyDescent="0.25">
      <c r="A546" s="109"/>
      <c r="B546" s="2"/>
      <c r="C546" s="104">
        <v>0</v>
      </c>
      <c r="D546" s="104">
        <v>0</v>
      </c>
    </row>
    <row r="547" spans="1:4" x14ac:dyDescent="0.25">
      <c r="A547" s="109"/>
      <c r="B547" s="2"/>
      <c r="C547" s="104">
        <v>0</v>
      </c>
      <c r="D547" s="104">
        <v>0</v>
      </c>
    </row>
    <row r="548" spans="1:4" x14ac:dyDescent="0.25">
      <c r="A548" s="109"/>
      <c r="B548" s="2"/>
      <c r="C548" s="104">
        <v>0</v>
      </c>
      <c r="D548" s="104">
        <v>0</v>
      </c>
    </row>
    <row r="549" spans="1:4" x14ac:dyDescent="0.25">
      <c r="A549" s="109"/>
      <c r="B549" s="2"/>
      <c r="C549" s="104">
        <v>0</v>
      </c>
      <c r="D549" s="104">
        <v>0</v>
      </c>
    </row>
    <row r="550" spans="1:4" x14ac:dyDescent="0.25">
      <c r="A550" s="109"/>
      <c r="B550" s="2"/>
      <c r="C550" s="104">
        <v>0</v>
      </c>
      <c r="D550" s="104">
        <v>0</v>
      </c>
    </row>
    <row r="551" spans="1:4" x14ac:dyDescent="0.25">
      <c r="A551" s="109"/>
      <c r="B551" s="2"/>
      <c r="C551" s="104">
        <v>0</v>
      </c>
      <c r="D551" s="104">
        <v>0</v>
      </c>
    </row>
    <row r="552" spans="1:4" x14ac:dyDescent="0.25">
      <c r="A552" s="109"/>
      <c r="B552" s="2"/>
      <c r="C552" s="104">
        <v>0</v>
      </c>
      <c r="D552" s="104">
        <v>0</v>
      </c>
    </row>
    <row r="553" spans="1:4" x14ac:dyDescent="0.25">
      <c r="A553" s="109"/>
      <c r="B553" s="2"/>
      <c r="C553" s="104">
        <v>0</v>
      </c>
      <c r="D553" s="104">
        <v>0</v>
      </c>
    </row>
    <row r="554" spans="1:4" x14ac:dyDescent="0.25">
      <c r="A554" s="109"/>
      <c r="B554" s="2"/>
      <c r="C554" s="104">
        <v>0</v>
      </c>
      <c r="D554" s="104">
        <v>0</v>
      </c>
    </row>
    <row r="555" spans="1:4" x14ac:dyDescent="0.25">
      <c r="A555" s="109"/>
      <c r="B555" s="2"/>
      <c r="C555" s="104">
        <v>0</v>
      </c>
      <c r="D555" s="104">
        <v>0</v>
      </c>
    </row>
    <row r="556" spans="1:4" x14ac:dyDescent="0.25">
      <c r="A556" s="109"/>
      <c r="B556" s="2"/>
      <c r="C556" s="104">
        <v>0</v>
      </c>
      <c r="D556" s="104">
        <v>0</v>
      </c>
    </row>
    <row r="557" spans="1:4" x14ac:dyDescent="0.25">
      <c r="A557" s="109"/>
      <c r="B557" s="2"/>
      <c r="C557" s="104">
        <v>0</v>
      </c>
      <c r="D557" s="104">
        <v>0</v>
      </c>
    </row>
    <row r="558" spans="1:4" x14ac:dyDescent="0.25">
      <c r="A558" s="109"/>
      <c r="B558" s="2"/>
      <c r="C558" s="104">
        <v>0</v>
      </c>
      <c r="D558" s="104">
        <v>0</v>
      </c>
    </row>
    <row r="559" spans="1:4" x14ac:dyDescent="0.25">
      <c r="A559" s="109"/>
      <c r="B559" s="2"/>
      <c r="C559" s="104">
        <v>0</v>
      </c>
      <c r="D559" s="104">
        <v>0</v>
      </c>
    </row>
    <row r="560" spans="1:4" x14ac:dyDescent="0.25">
      <c r="A560" s="109"/>
      <c r="B560" s="2"/>
      <c r="C560" s="104">
        <v>0</v>
      </c>
      <c r="D560" s="104">
        <v>0</v>
      </c>
    </row>
    <row r="561" spans="1:4" x14ac:dyDescent="0.25">
      <c r="A561" s="109"/>
      <c r="B561" s="2"/>
      <c r="C561" s="104">
        <v>0</v>
      </c>
      <c r="D561" s="104">
        <v>0</v>
      </c>
    </row>
    <row r="562" spans="1:4" x14ac:dyDescent="0.25">
      <c r="A562" s="109"/>
      <c r="B562" s="2"/>
      <c r="C562" s="104">
        <v>0</v>
      </c>
      <c r="D562" s="104">
        <v>0</v>
      </c>
    </row>
    <row r="563" spans="1:4" x14ac:dyDescent="0.25">
      <c r="A563" s="109"/>
      <c r="B563" s="2"/>
      <c r="C563" s="104">
        <v>0</v>
      </c>
      <c r="D563" s="104">
        <v>0</v>
      </c>
    </row>
    <row r="564" spans="1:4" x14ac:dyDescent="0.25">
      <c r="A564" s="109"/>
      <c r="B564" s="2"/>
      <c r="C564" s="104">
        <v>0</v>
      </c>
      <c r="D564" s="104">
        <v>0</v>
      </c>
    </row>
    <row r="565" spans="1:4" x14ac:dyDescent="0.25">
      <c r="A565" s="109"/>
      <c r="B565" s="2"/>
      <c r="C565" s="104">
        <v>0</v>
      </c>
      <c r="D565" s="104">
        <v>0</v>
      </c>
    </row>
    <row r="566" spans="1:4" x14ac:dyDescent="0.25">
      <c r="A566" s="109"/>
      <c r="B566" s="2"/>
      <c r="C566" s="104">
        <v>0</v>
      </c>
      <c r="D566" s="104">
        <v>0</v>
      </c>
    </row>
    <row r="567" spans="1:4" x14ac:dyDescent="0.25">
      <c r="A567" s="109"/>
      <c r="B567" s="2"/>
      <c r="C567" s="104">
        <v>0</v>
      </c>
      <c r="D567" s="104">
        <v>0</v>
      </c>
    </row>
    <row r="568" spans="1:4" x14ac:dyDescent="0.25">
      <c r="A568" s="109"/>
      <c r="B568" s="2"/>
      <c r="C568" s="104">
        <v>0</v>
      </c>
      <c r="D568" s="104">
        <v>0</v>
      </c>
    </row>
    <row r="569" spans="1:4" x14ac:dyDescent="0.25">
      <c r="A569" s="109"/>
      <c r="B569" s="2"/>
      <c r="C569" s="104">
        <v>0</v>
      </c>
      <c r="D569" s="104">
        <v>0</v>
      </c>
    </row>
    <row r="570" spans="1:4" x14ac:dyDescent="0.25">
      <c r="A570" s="109"/>
      <c r="B570" s="2"/>
      <c r="C570" s="104">
        <v>0</v>
      </c>
      <c r="D570" s="104">
        <v>0</v>
      </c>
    </row>
    <row r="571" spans="1:4" x14ac:dyDescent="0.25">
      <c r="A571" s="109"/>
      <c r="B571" s="2"/>
      <c r="C571" s="104">
        <v>0</v>
      </c>
      <c r="D571" s="104">
        <v>0</v>
      </c>
    </row>
    <row r="572" spans="1:4" x14ac:dyDescent="0.25">
      <c r="A572" s="109"/>
      <c r="B572" s="2"/>
      <c r="C572" s="104">
        <v>0</v>
      </c>
      <c r="D572" s="104">
        <v>0</v>
      </c>
    </row>
    <row r="573" spans="1:4" x14ac:dyDescent="0.25">
      <c r="A573" s="109"/>
      <c r="B573" s="2"/>
      <c r="C573" s="104">
        <v>0</v>
      </c>
      <c r="D573" s="104">
        <v>0</v>
      </c>
    </row>
    <row r="574" spans="1:4" x14ac:dyDescent="0.25">
      <c r="A574" s="109"/>
      <c r="B574" s="2"/>
      <c r="C574" s="104">
        <v>0</v>
      </c>
      <c r="D574" s="104">
        <v>0</v>
      </c>
    </row>
    <row r="575" spans="1:4" x14ac:dyDescent="0.25">
      <c r="A575" s="109"/>
      <c r="B575" s="2"/>
      <c r="C575" s="104">
        <v>0</v>
      </c>
      <c r="D575" s="104">
        <v>0</v>
      </c>
    </row>
    <row r="576" spans="1:4" x14ac:dyDescent="0.25">
      <c r="A576" s="109"/>
      <c r="B576" s="2"/>
      <c r="C576" s="104">
        <v>0</v>
      </c>
      <c r="D576" s="104">
        <v>0</v>
      </c>
    </row>
    <row r="577" spans="1:4" x14ac:dyDescent="0.25">
      <c r="A577" s="109"/>
      <c r="B577" s="2"/>
      <c r="C577" s="104">
        <v>0</v>
      </c>
      <c r="D577" s="104">
        <v>0</v>
      </c>
    </row>
    <row r="578" spans="1:4" x14ac:dyDescent="0.25">
      <c r="A578" s="109"/>
      <c r="B578" s="2"/>
      <c r="C578" s="104">
        <v>0</v>
      </c>
      <c r="D578" s="104">
        <v>0</v>
      </c>
    </row>
    <row r="579" spans="1:4" x14ac:dyDescent="0.25">
      <c r="A579" s="109"/>
      <c r="B579" s="2"/>
      <c r="C579" s="104">
        <v>0</v>
      </c>
      <c r="D579" s="104">
        <v>0</v>
      </c>
    </row>
    <row r="580" spans="1:4" x14ac:dyDescent="0.25">
      <c r="A580" s="109"/>
      <c r="B580" s="2"/>
      <c r="C580" s="104">
        <v>0</v>
      </c>
      <c r="D580" s="104">
        <v>0</v>
      </c>
    </row>
    <row r="581" spans="1:4" x14ac:dyDescent="0.25">
      <c r="A581" s="109"/>
      <c r="B581" s="2"/>
      <c r="C581" s="104">
        <v>0</v>
      </c>
      <c r="D581" s="104">
        <v>0</v>
      </c>
    </row>
    <row r="582" spans="1:4" x14ac:dyDescent="0.25">
      <c r="A582" s="109"/>
      <c r="B582" s="2"/>
      <c r="C582" s="104">
        <v>0</v>
      </c>
      <c r="D582" s="104">
        <v>0</v>
      </c>
    </row>
    <row r="583" spans="1:4" x14ac:dyDescent="0.25">
      <c r="A583" s="109"/>
      <c r="B583" s="2"/>
      <c r="C583" s="104">
        <v>0</v>
      </c>
      <c r="D583" s="104">
        <v>0</v>
      </c>
    </row>
    <row r="584" spans="1:4" x14ac:dyDescent="0.25">
      <c r="A584" s="109"/>
      <c r="B584" s="2"/>
      <c r="C584" s="104">
        <v>0</v>
      </c>
      <c r="D584" s="104">
        <v>0</v>
      </c>
    </row>
    <row r="585" spans="1:4" x14ac:dyDescent="0.25">
      <c r="A585" s="109"/>
      <c r="B585" s="2"/>
      <c r="C585" s="104">
        <v>0</v>
      </c>
      <c r="D585" s="104">
        <v>0</v>
      </c>
    </row>
    <row r="586" spans="1:4" x14ac:dyDescent="0.25">
      <c r="A586" s="109"/>
      <c r="B586" s="2"/>
      <c r="C586" s="104">
        <v>0</v>
      </c>
      <c r="D586" s="104">
        <v>0</v>
      </c>
    </row>
    <row r="587" spans="1:4" x14ac:dyDescent="0.25">
      <c r="A587" s="109"/>
      <c r="B587" s="2"/>
      <c r="C587" s="104">
        <v>0</v>
      </c>
      <c r="D587" s="104">
        <v>0</v>
      </c>
    </row>
    <row r="588" spans="1:4" x14ac:dyDescent="0.25">
      <c r="A588" s="109"/>
      <c r="B588" s="2"/>
      <c r="C588" s="104">
        <v>0</v>
      </c>
      <c r="D588" s="104">
        <v>0</v>
      </c>
    </row>
    <row r="589" spans="1:4" x14ac:dyDescent="0.25">
      <c r="A589" s="109"/>
      <c r="B589" s="2"/>
      <c r="C589" s="104">
        <v>0</v>
      </c>
      <c r="D589" s="104">
        <v>0</v>
      </c>
    </row>
    <row r="590" spans="1:4" x14ac:dyDescent="0.25">
      <c r="A590" s="109"/>
      <c r="B590" s="2"/>
      <c r="C590" s="104">
        <v>0</v>
      </c>
      <c r="D590" s="104">
        <v>0</v>
      </c>
    </row>
    <row r="591" spans="1:4" x14ac:dyDescent="0.25">
      <c r="A591" s="109"/>
      <c r="B591" s="2"/>
      <c r="C591" s="104">
        <v>0</v>
      </c>
      <c r="D591" s="104">
        <v>0</v>
      </c>
    </row>
    <row r="592" spans="1:4" x14ac:dyDescent="0.25">
      <c r="A592" s="109"/>
      <c r="B592" s="2"/>
      <c r="C592" s="104">
        <v>0</v>
      </c>
      <c r="D592" s="104">
        <v>0</v>
      </c>
    </row>
    <row r="593" spans="1:4" x14ac:dyDescent="0.25">
      <c r="A593" s="109"/>
      <c r="B593" s="2"/>
      <c r="C593" s="104">
        <v>0</v>
      </c>
      <c r="D593" s="104">
        <v>0</v>
      </c>
    </row>
    <row r="594" spans="1:4" x14ac:dyDescent="0.25">
      <c r="A594" s="109"/>
      <c r="B594" s="2"/>
      <c r="C594" s="104">
        <v>0</v>
      </c>
      <c r="D594" s="104">
        <v>0</v>
      </c>
    </row>
    <row r="595" spans="1:4" x14ac:dyDescent="0.25">
      <c r="A595" s="109"/>
      <c r="B595" s="2"/>
      <c r="C595" s="104">
        <v>0</v>
      </c>
      <c r="D595" s="104">
        <v>0</v>
      </c>
    </row>
    <row r="596" spans="1:4" x14ac:dyDescent="0.25">
      <c r="A596" s="109"/>
      <c r="B596" s="2"/>
      <c r="C596" s="104">
        <v>0</v>
      </c>
      <c r="D596" s="104">
        <v>0</v>
      </c>
    </row>
    <row r="597" spans="1:4" x14ac:dyDescent="0.25">
      <c r="A597" s="109"/>
      <c r="B597" s="2"/>
      <c r="C597" s="104">
        <v>0</v>
      </c>
      <c r="D597" s="104">
        <v>0</v>
      </c>
    </row>
    <row r="598" spans="1:4" x14ac:dyDescent="0.25">
      <c r="A598" s="109"/>
      <c r="B598" s="2"/>
      <c r="C598" s="104">
        <v>0</v>
      </c>
      <c r="D598" s="104">
        <v>0</v>
      </c>
    </row>
    <row r="599" spans="1:4" x14ac:dyDescent="0.25">
      <c r="A599" s="109"/>
      <c r="B599" s="2"/>
      <c r="C599" s="104">
        <v>0</v>
      </c>
      <c r="D599" s="104">
        <v>0</v>
      </c>
    </row>
    <row r="600" spans="1:4" x14ac:dyDescent="0.25">
      <c r="A600" s="109"/>
      <c r="B600" s="2"/>
      <c r="C600" s="104">
        <v>0</v>
      </c>
      <c r="D600" s="104">
        <v>0</v>
      </c>
    </row>
    <row r="601" spans="1:4" x14ac:dyDescent="0.25">
      <c r="A601" s="109"/>
      <c r="B601" s="2"/>
      <c r="C601" s="104">
        <v>0</v>
      </c>
      <c r="D601" s="104">
        <v>0</v>
      </c>
    </row>
    <row r="602" spans="1:4" x14ac:dyDescent="0.25">
      <c r="A602" s="109"/>
      <c r="B602" s="2"/>
      <c r="C602" s="104">
        <v>0</v>
      </c>
      <c r="D602" s="104">
        <v>0</v>
      </c>
    </row>
    <row r="603" spans="1:4" x14ac:dyDescent="0.25">
      <c r="A603" s="109"/>
      <c r="B603" s="2"/>
      <c r="C603" s="104">
        <v>0</v>
      </c>
      <c r="D603" s="104">
        <v>0</v>
      </c>
    </row>
    <row r="604" spans="1:4" x14ac:dyDescent="0.25">
      <c r="A604" s="109"/>
      <c r="B604" s="2"/>
      <c r="C604" s="104">
        <v>0</v>
      </c>
      <c r="D604" s="104">
        <v>0</v>
      </c>
    </row>
    <row r="605" spans="1:4" x14ac:dyDescent="0.25">
      <c r="A605" s="109"/>
      <c r="B605" s="2"/>
      <c r="C605" s="104">
        <v>0</v>
      </c>
      <c r="D605" s="104">
        <v>0</v>
      </c>
    </row>
    <row r="606" spans="1:4" x14ac:dyDescent="0.25">
      <c r="A606" s="109"/>
      <c r="B606" s="2"/>
      <c r="C606" s="104">
        <v>0</v>
      </c>
      <c r="D606" s="104">
        <v>0</v>
      </c>
    </row>
    <row r="607" spans="1:4" x14ac:dyDescent="0.25">
      <c r="A607" s="109"/>
      <c r="B607" s="2"/>
      <c r="C607" s="104">
        <v>0</v>
      </c>
      <c r="D607" s="104">
        <v>0</v>
      </c>
    </row>
    <row r="608" spans="1:4" x14ac:dyDescent="0.25">
      <c r="A608" s="109"/>
      <c r="B608" s="2"/>
      <c r="C608" s="104">
        <v>0</v>
      </c>
      <c r="D608" s="104">
        <v>0</v>
      </c>
    </row>
    <row r="609" spans="1:4" x14ac:dyDescent="0.25">
      <c r="A609" s="109"/>
      <c r="B609" s="2"/>
      <c r="C609" s="104">
        <v>0</v>
      </c>
      <c r="D609" s="104">
        <v>0</v>
      </c>
    </row>
    <row r="610" spans="1:4" x14ac:dyDescent="0.25">
      <c r="A610" s="109"/>
      <c r="B610" s="2"/>
      <c r="C610" s="104">
        <v>0</v>
      </c>
      <c r="D610" s="104">
        <v>0</v>
      </c>
    </row>
    <row r="611" spans="1:4" x14ac:dyDescent="0.25">
      <c r="A611" s="109"/>
      <c r="B611" s="2"/>
      <c r="C611" s="104">
        <v>0</v>
      </c>
      <c r="D611" s="104">
        <v>0</v>
      </c>
    </row>
    <row r="612" spans="1:4" x14ac:dyDescent="0.25">
      <c r="A612" s="109"/>
      <c r="B612" s="2"/>
      <c r="C612" s="104">
        <v>0</v>
      </c>
      <c r="D612" s="104">
        <v>0</v>
      </c>
    </row>
    <row r="613" spans="1:4" x14ac:dyDescent="0.25">
      <c r="A613" s="109"/>
      <c r="B613" s="2"/>
      <c r="C613" s="104">
        <v>0</v>
      </c>
      <c r="D613" s="104">
        <v>0</v>
      </c>
    </row>
    <row r="614" spans="1:4" x14ac:dyDescent="0.25">
      <c r="A614" s="109"/>
      <c r="B614" s="2"/>
      <c r="C614" s="104">
        <v>0</v>
      </c>
      <c r="D614" s="104">
        <v>0</v>
      </c>
    </row>
    <row r="615" spans="1:4" x14ac:dyDescent="0.25">
      <c r="A615" s="109"/>
      <c r="B615" s="2"/>
      <c r="C615" s="104">
        <v>0</v>
      </c>
      <c r="D615" s="104">
        <v>0</v>
      </c>
    </row>
    <row r="616" spans="1:4" x14ac:dyDescent="0.25">
      <c r="A616" s="109"/>
      <c r="B616" s="2"/>
      <c r="C616" s="104">
        <v>0</v>
      </c>
      <c r="D616" s="104">
        <v>0</v>
      </c>
    </row>
    <row r="617" spans="1:4" x14ac:dyDescent="0.25">
      <c r="A617" s="109"/>
      <c r="B617" s="2"/>
      <c r="C617" s="104">
        <v>0</v>
      </c>
      <c r="D617" s="104">
        <v>0</v>
      </c>
    </row>
    <row r="618" spans="1:4" x14ac:dyDescent="0.25">
      <c r="A618" s="109"/>
      <c r="B618" s="2"/>
      <c r="C618" s="104">
        <v>0</v>
      </c>
      <c r="D618" s="104">
        <v>0</v>
      </c>
    </row>
    <row r="619" spans="1:4" x14ac:dyDescent="0.25">
      <c r="A619" s="109"/>
      <c r="B619" s="2"/>
      <c r="C619" s="104">
        <v>0</v>
      </c>
      <c r="D619" s="104">
        <v>0</v>
      </c>
    </row>
    <row r="620" spans="1:4" x14ac:dyDescent="0.25">
      <c r="A620" s="109"/>
      <c r="B620" s="2"/>
      <c r="C620" s="104">
        <v>0</v>
      </c>
      <c r="D620" s="104">
        <v>0</v>
      </c>
    </row>
    <row r="621" spans="1:4" x14ac:dyDescent="0.25">
      <c r="A621" s="109"/>
      <c r="B621" s="2"/>
      <c r="C621" s="104">
        <v>0</v>
      </c>
      <c r="D621" s="104">
        <v>0</v>
      </c>
    </row>
    <row r="622" spans="1:4" x14ac:dyDescent="0.25">
      <c r="A622" s="109"/>
      <c r="B622" s="2"/>
      <c r="C622" s="104">
        <v>0</v>
      </c>
      <c r="D622" s="104">
        <v>0</v>
      </c>
    </row>
    <row r="623" spans="1:4" x14ac:dyDescent="0.25">
      <c r="A623" s="109"/>
      <c r="B623" s="2"/>
      <c r="C623" s="104">
        <v>0</v>
      </c>
      <c r="D623" s="104">
        <v>0</v>
      </c>
    </row>
    <row r="624" spans="1:4" x14ac:dyDescent="0.25">
      <c r="A624" s="109"/>
      <c r="B624" s="2"/>
      <c r="C624" s="104">
        <v>0</v>
      </c>
      <c r="D624" s="104">
        <v>0</v>
      </c>
    </row>
    <row r="625" spans="1:4" x14ac:dyDescent="0.25">
      <c r="A625" s="109"/>
      <c r="B625" s="2"/>
      <c r="C625" s="104">
        <v>0</v>
      </c>
      <c r="D625" s="104">
        <v>0</v>
      </c>
    </row>
    <row r="626" spans="1:4" x14ac:dyDescent="0.25">
      <c r="A626" s="109"/>
      <c r="B626" s="2"/>
      <c r="C626" s="104">
        <v>0</v>
      </c>
      <c r="D626" s="104">
        <v>0</v>
      </c>
    </row>
    <row r="627" spans="1:4" x14ac:dyDescent="0.25">
      <c r="A627" s="109"/>
      <c r="B627" s="2"/>
      <c r="C627" s="104">
        <v>0</v>
      </c>
      <c r="D627" s="104">
        <v>0</v>
      </c>
    </row>
    <row r="628" spans="1:4" x14ac:dyDescent="0.25">
      <c r="A628" s="109"/>
      <c r="B628" s="2"/>
      <c r="C628" s="104">
        <v>0</v>
      </c>
      <c r="D628" s="104">
        <v>0</v>
      </c>
    </row>
    <row r="629" spans="1:4" x14ac:dyDescent="0.25">
      <c r="A629" s="109"/>
      <c r="B629" s="2"/>
      <c r="C629" s="104">
        <v>0</v>
      </c>
      <c r="D629" s="104">
        <v>0</v>
      </c>
    </row>
    <row r="630" spans="1:4" x14ac:dyDescent="0.25">
      <c r="A630" s="109"/>
      <c r="B630" s="2"/>
      <c r="C630" s="104">
        <v>0</v>
      </c>
      <c r="D630" s="104">
        <v>0</v>
      </c>
    </row>
    <row r="631" spans="1:4" x14ac:dyDescent="0.25">
      <c r="A631" s="109"/>
      <c r="B631" s="2"/>
      <c r="C631" s="104">
        <v>0</v>
      </c>
      <c r="D631" s="104">
        <v>0</v>
      </c>
    </row>
    <row r="632" spans="1:4" x14ac:dyDescent="0.25">
      <c r="A632" s="109"/>
      <c r="B632" s="2"/>
      <c r="C632" s="104">
        <v>0</v>
      </c>
      <c r="D632" s="104">
        <v>0</v>
      </c>
    </row>
    <row r="633" spans="1:4" x14ac:dyDescent="0.25">
      <c r="A633" s="109"/>
      <c r="B633" s="2"/>
      <c r="C633" s="104">
        <v>0</v>
      </c>
      <c r="D633" s="104">
        <v>0</v>
      </c>
    </row>
    <row r="634" spans="1:4" x14ac:dyDescent="0.25">
      <c r="A634" s="109"/>
      <c r="B634" s="2"/>
      <c r="C634" s="104">
        <v>0</v>
      </c>
      <c r="D634" s="104">
        <v>0</v>
      </c>
    </row>
    <row r="635" spans="1:4" x14ac:dyDescent="0.25">
      <c r="A635" s="109"/>
      <c r="B635" s="2"/>
      <c r="C635" s="104">
        <v>0</v>
      </c>
      <c r="D635" s="104">
        <v>0</v>
      </c>
    </row>
    <row r="636" spans="1:4" x14ac:dyDescent="0.25">
      <c r="A636" s="109"/>
      <c r="B636" s="2"/>
      <c r="C636" s="104">
        <v>0</v>
      </c>
      <c r="D636" s="104">
        <v>0</v>
      </c>
    </row>
    <row r="637" spans="1:4" x14ac:dyDescent="0.25">
      <c r="A637" s="109"/>
      <c r="B637" s="2"/>
      <c r="C637" s="104">
        <v>0</v>
      </c>
      <c r="D637" s="104">
        <v>0</v>
      </c>
    </row>
    <row r="638" spans="1:4" x14ac:dyDescent="0.25">
      <c r="A638" s="109"/>
      <c r="B638" s="2"/>
      <c r="C638" s="104">
        <v>0</v>
      </c>
      <c r="D638" s="104">
        <v>0</v>
      </c>
    </row>
    <row r="639" spans="1:4" x14ac:dyDescent="0.25">
      <c r="A639" s="109"/>
      <c r="B639" s="2"/>
      <c r="C639" s="104">
        <v>0</v>
      </c>
      <c r="D639" s="104">
        <v>0</v>
      </c>
    </row>
    <row r="640" spans="1:4" x14ac:dyDescent="0.25">
      <c r="A640" s="109"/>
      <c r="B640" s="2"/>
      <c r="C640" s="104">
        <v>0</v>
      </c>
      <c r="D640" s="104">
        <v>0</v>
      </c>
    </row>
    <row r="641" spans="1:4" x14ac:dyDescent="0.25">
      <c r="A641" s="109"/>
      <c r="B641" s="2"/>
      <c r="C641" s="104">
        <v>0</v>
      </c>
      <c r="D641" s="104">
        <v>0</v>
      </c>
    </row>
    <row r="642" spans="1:4" x14ac:dyDescent="0.25">
      <c r="A642" s="109"/>
      <c r="B642" s="2"/>
      <c r="C642" s="104">
        <v>0</v>
      </c>
      <c r="D642" s="104">
        <v>0</v>
      </c>
    </row>
    <row r="643" spans="1:4" x14ac:dyDescent="0.25">
      <c r="A643" s="109"/>
      <c r="B643" s="2"/>
      <c r="C643" s="104">
        <v>0</v>
      </c>
      <c r="D643" s="104">
        <v>0</v>
      </c>
    </row>
    <row r="644" spans="1:4" x14ac:dyDescent="0.25">
      <c r="A644" s="109"/>
      <c r="B644" s="2"/>
      <c r="C644" s="104">
        <v>0</v>
      </c>
      <c r="D644" s="104">
        <v>0</v>
      </c>
    </row>
    <row r="645" spans="1:4" x14ac:dyDescent="0.25">
      <c r="A645" s="109"/>
      <c r="B645" s="2"/>
      <c r="C645" s="104">
        <v>0</v>
      </c>
      <c r="D645" s="104">
        <v>0</v>
      </c>
    </row>
    <row r="646" spans="1:4" x14ac:dyDescent="0.25">
      <c r="A646" s="109"/>
      <c r="B646" s="2"/>
      <c r="C646" s="104">
        <v>0</v>
      </c>
      <c r="D646" s="104">
        <v>0</v>
      </c>
    </row>
  </sheetData>
  <autoFilter ref="A1:G646" xr:uid="{00000000-0001-0000-0300-000000000000}"/>
  <customSheetViews>
    <customSheetView guid="{98B02240-083D-48FB-929B-AEE0DA92ED1F}" showAutoFilter="1" topLeftCell="A13">
      <selection activeCell="A23" sqref="A23"/>
      <pageMargins left="0.7" right="0.7" top="0.75" bottom="0.75" header="0.3" footer="0.3"/>
      <autoFilter ref="A1:B120" xr:uid="{07EC0D78-EA32-4380-8C52-682F7BB6C06B}"/>
    </customSheetView>
  </customSheetViews>
  <conditionalFormatting sqref="A1:A33 A35:A414 A416:A1048576">
    <cfRule type="duplicateValues" dxfId="8" priority="3"/>
  </conditionalFormatting>
  <conditionalFormatting sqref="A34">
    <cfRule type="duplicateValues" dxfId="7" priority="2"/>
  </conditionalFormatting>
  <conditionalFormatting sqref="A415">
    <cfRule type="expression" dxfId="6" priority="1">
      <formula>AND($C415&lt;&gt;"",$O415="",$N415&gt;=TODAY())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60F0D-FE8A-42E3-891C-076937879D10}">
  <sheetPr codeName="Sheet8">
    <pageSetUpPr fitToPage="1"/>
  </sheetPr>
  <dimension ref="A1:M20"/>
  <sheetViews>
    <sheetView showGridLines="0" zoomScaleNormal="100" workbookViewId="0">
      <selection activeCell="A2" sqref="A2:A3"/>
    </sheetView>
  </sheetViews>
  <sheetFormatPr defaultColWidth="9" defaultRowHeight="14.4" x14ac:dyDescent="0.3"/>
  <cols>
    <col min="1" max="1" width="3.6640625" style="47" customWidth="1"/>
    <col min="2" max="4" width="9" style="47"/>
    <col min="5" max="5" width="41.109375" style="49" customWidth="1"/>
    <col min="6" max="8" width="9" style="47"/>
    <col min="9" max="9" width="4.33203125" style="47" customWidth="1"/>
    <col min="10" max="11" width="9" style="47"/>
    <col min="14" max="16384" width="9" style="47"/>
  </cols>
  <sheetData>
    <row r="1" spans="1:11" x14ac:dyDescent="0.3">
      <c r="A1" s="43"/>
      <c r="B1" s="44"/>
      <c r="C1" s="44"/>
      <c r="D1" s="44"/>
      <c r="E1" s="45"/>
      <c r="F1" s="44"/>
      <c r="G1" s="44"/>
      <c r="H1" s="44"/>
      <c r="I1" s="46"/>
    </row>
    <row r="2" spans="1:11" ht="15.6" x14ac:dyDescent="0.3">
      <c r="A2" s="48" t="s">
        <v>1173</v>
      </c>
      <c r="I2" s="29" t="s">
        <v>28</v>
      </c>
    </row>
    <row r="3" spans="1:11" ht="16.2" x14ac:dyDescent="0.3">
      <c r="A3" s="50" t="s">
        <v>1174</v>
      </c>
      <c r="I3" s="51" t="s">
        <v>10</v>
      </c>
    </row>
    <row r="4" spans="1:11" x14ac:dyDescent="0.3">
      <c r="A4" s="52"/>
      <c r="I4" s="53"/>
    </row>
    <row r="5" spans="1:11" ht="17.399999999999999" x14ac:dyDescent="0.3">
      <c r="A5" s="124" t="s">
        <v>11</v>
      </c>
      <c r="B5" s="125"/>
      <c r="C5" s="125"/>
      <c r="D5" s="125"/>
      <c r="E5" s="125"/>
      <c r="F5" s="125"/>
      <c r="G5" s="125"/>
      <c r="H5" s="125"/>
      <c r="I5" s="126"/>
    </row>
    <row r="6" spans="1:11" ht="16.2" x14ac:dyDescent="0.3">
      <c r="A6" s="127" t="s">
        <v>12</v>
      </c>
      <c r="B6" s="120"/>
      <c r="C6" s="120"/>
      <c r="D6" s="120"/>
      <c r="E6" s="120"/>
      <c r="F6" s="120"/>
      <c r="G6" s="120"/>
      <c r="H6" s="120"/>
      <c r="I6" s="121"/>
    </row>
    <row r="7" spans="1:11" ht="15.6" x14ac:dyDescent="0.3">
      <c r="A7" s="52"/>
      <c r="F7" s="54"/>
      <c r="G7" s="54"/>
      <c r="H7" s="54"/>
      <c r="I7" s="55" t="s">
        <v>1155</v>
      </c>
    </row>
    <row r="8" spans="1:11" ht="15.6" x14ac:dyDescent="0.3">
      <c r="A8" s="52"/>
      <c r="I8" s="55"/>
    </row>
    <row r="9" spans="1:11" x14ac:dyDescent="0.3">
      <c r="A9" s="52"/>
      <c r="B9" s="128" t="s">
        <v>13</v>
      </c>
      <c r="C9" s="129"/>
      <c r="D9" s="129"/>
      <c r="E9" s="33" t="s">
        <v>15</v>
      </c>
      <c r="F9" s="129" t="s">
        <v>17</v>
      </c>
      <c r="G9" s="129"/>
      <c r="H9" s="130"/>
      <c r="I9" s="53"/>
    </row>
    <row r="10" spans="1:11" x14ac:dyDescent="0.3">
      <c r="A10" s="52"/>
      <c r="B10" s="131" t="s">
        <v>14</v>
      </c>
      <c r="C10" s="132"/>
      <c r="D10" s="132"/>
      <c r="E10" s="34" t="s">
        <v>16</v>
      </c>
      <c r="F10" s="132" t="s">
        <v>18</v>
      </c>
      <c r="G10" s="132"/>
      <c r="H10" s="133"/>
      <c r="I10" s="53"/>
    </row>
    <row r="11" spans="1:11" customFormat="1" ht="30" customHeight="1" x14ac:dyDescent="0.3">
      <c r="A11" s="52"/>
      <c r="B11" s="65">
        <v>1200021949</v>
      </c>
      <c r="C11" s="66"/>
      <c r="D11" s="67"/>
      <c r="E11" s="42" t="s">
        <v>44</v>
      </c>
      <c r="F11" s="68" t="s">
        <v>1156</v>
      </c>
      <c r="G11" s="69"/>
      <c r="H11" s="70"/>
      <c r="I11" s="53"/>
      <c r="J11" s="47"/>
      <c r="K11" s="47"/>
    </row>
    <row r="12" spans="1:11" x14ac:dyDescent="0.3">
      <c r="A12" s="52"/>
      <c r="D12" s="56"/>
      <c r="E12" s="32" t="s">
        <v>1172</v>
      </c>
      <c r="I12" s="53"/>
    </row>
    <row r="13" spans="1:11" x14ac:dyDescent="0.3">
      <c r="A13" s="52"/>
      <c r="I13" s="53"/>
    </row>
    <row r="14" spans="1:11" x14ac:dyDescent="0.3">
      <c r="A14" s="52"/>
      <c r="B14" s="135" t="s">
        <v>19</v>
      </c>
      <c r="C14" s="135"/>
      <c r="D14" s="135"/>
      <c r="F14" s="135" t="s">
        <v>21</v>
      </c>
      <c r="G14" s="135"/>
      <c r="H14" s="135"/>
      <c r="I14" s="53"/>
    </row>
    <row r="15" spans="1:11" x14ac:dyDescent="0.3">
      <c r="A15" s="52"/>
      <c r="B15" s="136" t="s">
        <v>20</v>
      </c>
      <c r="C15" s="136"/>
      <c r="D15" s="136"/>
      <c r="F15" s="136" t="s">
        <v>22</v>
      </c>
      <c r="G15" s="136"/>
      <c r="H15" s="136"/>
      <c r="I15" s="53"/>
    </row>
    <row r="16" spans="1:11" x14ac:dyDescent="0.3">
      <c r="A16" s="52"/>
      <c r="B16" s="56"/>
      <c r="C16" s="56"/>
      <c r="D16" s="56"/>
      <c r="I16" s="53"/>
    </row>
    <row r="17" spans="1:9" x14ac:dyDescent="0.3">
      <c r="A17" s="52"/>
      <c r="B17" s="56"/>
      <c r="C17" s="56"/>
      <c r="D17" s="56"/>
      <c r="I17" s="53"/>
    </row>
    <row r="18" spans="1:9" x14ac:dyDescent="0.3">
      <c r="A18" s="52"/>
      <c r="B18" s="56"/>
      <c r="C18" s="56"/>
      <c r="D18" s="56"/>
      <c r="I18" s="53"/>
    </row>
    <row r="19" spans="1:9" ht="15" customHeight="1" x14ac:dyDescent="0.3">
      <c r="A19" s="52"/>
      <c r="B19" s="134"/>
      <c r="C19" s="134"/>
      <c r="D19" s="134"/>
      <c r="F19" s="134" t="s">
        <v>24</v>
      </c>
      <c r="G19" s="134"/>
      <c r="H19" s="134"/>
      <c r="I19" s="53"/>
    </row>
    <row r="20" spans="1:9" ht="15" thickBot="1" x14ac:dyDescent="0.35">
      <c r="A20" s="57"/>
      <c r="B20" s="28"/>
      <c r="C20" s="28"/>
      <c r="D20" s="28"/>
      <c r="E20" s="58"/>
      <c r="F20" s="59"/>
      <c r="G20" s="28"/>
      <c r="H20" s="59"/>
      <c r="I20" s="60"/>
    </row>
  </sheetData>
  <autoFilter ref="B10:K11" xr:uid="{00000000-0009-0000-0000-000001000000}">
    <filterColumn colId="0" showButton="0"/>
    <filterColumn colId="1" showButton="0"/>
    <filterColumn colId="4" showButton="0"/>
    <filterColumn colId="5" showButton="0"/>
  </autoFilter>
  <mergeCells count="12">
    <mergeCell ref="A5:I5"/>
    <mergeCell ref="A6:I6"/>
    <mergeCell ref="B9:D9"/>
    <mergeCell ref="F9:H9"/>
    <mergeCell ref="B10:D10"/>
    <mergeCell ref="F10:H10"/>
    <mergeCell ref="B14:D14"/>
    <mergeCell ref="F14:H14"/>
    <mergeCell ref="B15:D15"/>
    <mergeCell ref="F15:H15"/>
    <mergeCell ref="B19:D19"/>
    <mergeCell ref="F19:H19"/>
  </mergeCells>
  <conditionalFormatting sqref="E11">
    <cfRule type="duplicateValues" dxfId="5" priority="79"/>
  </conditionalFormatting>
  <printOptions horizontalCentered="1" verticalCentered="1"/>
  <pageMargins left="0.2" right="0.2" top="0.25" bottom="0.25" header="0.3" footer="0.3"/>
  <pageSetup paperSize="11" scale="21"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2CC34-1CBA-4B61-8EA8-0F510E0E2985}">
  <sheetPr codeName="Sheet7">
    <pageSetUpPr fitToPage="1"/>
  </sheetPr>
  <dimension ref="A1:M20"/>
  <sheetViews>
    <sheetView showGridLines="0" zoomScaleNormal="100" workbookViewId="0">
      <selection activeCell="A2" sqref="A2:A3"/>
    </sheetView>
  </sheetViews>
  <sheetFormatPr defaultColWidth="9" defaultRowHeight="14.4" x14ac:dyDescent="0.3"/>
  <cols>
    <col min="1" max="1" width="3.6640625" style="47" customWidth="1"/>
    <col min="2" max="4" width="9" style="47"/>
    <col min="5" max="5" width="41.109375" style="49" customWidth="1"/>
    <col min="6" max="8" width="9" style="47"/>
    <col min="9" max="9" width="4.33203125" style="47" customWidth="1"/>
    <col min="10" max="11" width="9" style="47"/>
    <col min="14" max="16384" width="9" style="47"/>
  </cols>
  <sheetData>
    <row r="1" spans="1:11" x14ac:dyDescent="0.3">
      <c r="A1" s="43"/>
      <c r="B1" s="44"/>
      <c r="C1" s="44"/>
      <c r="D1" s="44"/>
      <c r="E1" s="45"/>
      <c r="F1" s="44"/>
      <c r="G1" s="44"/>
      <c r="H1" s="44"/>
      <c r="I1" s="46"/>
    </row>
    <row r="2" spans="1:11" ht="15.6" x14ac:dyDescent="0.3">
      <c r="A2" s="48" t="s">
        <v>1173</v>
      </c>
      <c r="I2" s="29" t="s">
        <v>28</v>
      </c>
    </row>
    <row r="3" spans="1:11" ht="16.2" x14ac:dyDescent="0.3">
      <c r="A3" s="50" t="s">
        <v>1174</v>
      </c>
      <c r="I3" s="51" t="s">
        <v>10</v>
      </c>
    </row>
    <row r="4" spans="1:11" x14ac:dyDescent="0.3">
      <c r="A4" s="52"/>
      <c r="I4" s="53"/>
    </row>
    <row r="5" spans="1:11" ht="17.399999999999999" x14ac:dyDescent="0.3">
      <c r="A5" s="124" t="s">
        <v>11</v>
      </c>
      <c r="B5" s="125"/>
      <c r="C5" s="125"/>
      <c r="D5" s="125"/>
      <c r="E5" s="125"/>
      <c r="F5" s="125"/>
      <c r="G5" s="125"/>
      <c r="H5" s="125"/>
      <c r="I5" s="126"/>
    </row>
    <row r="6" spans="1:11" ht="16.2" x14ac:dyDescent="0.3">
      <c r="A6" s="127" t="s">
        <v>12</v>
      </c>
      <c r="B6" s="120"/>
      <c r="C6" s="120"/>
      <c r="D6" s="120"/>
      <c r="E6" s="120"/>
      <c r="F6" s="120"/>
      <c r="G6" s="120"/>
      <c r="H6" s="120"/>
      <c r="I6" s="121"/>
    </row>
    <row r="7" spans="1:11" ht="15.6" x14ac:dyDescent="0.3">
      <c r="A7" s="52"/>
      <c r="F7" s="54"/>
      <c r="G7" s="54"/>
      <c r="H7" s="54"/>
      <c r="I7" s="55" t="s">
        <v>1155</v>
      </c>
    </row>
    <row r="8" spans="1:11" ht="15.6" x14ac:dyDescent="0.3">
      <c r="A8" s="52"/>
      <c r="I8" s="55"/>
    </row>
    <row r="9" spans="1:11" x14ac:dyDescent="0.3">
      <c r="A9" s="52"/>
      <c r="B9" s="128" t="s">
        <v>13</v>
      </c>
      <c r="C9" s="129"/>
      <c r="D9" s="129"/>
      <c r="E9" s="33" t="s">
        <v>15</v>
      </c>
      <c r="F9" s="129" t="s">
        <v>17</v>
      </c>
      <c r="G9" s="129"/>
      <c r="H9" s="130"/>
      <c r="I9" s="53"/>
    </row>
    <row r="10" spans="1:11" x14ac:dyDescent="0.3">
      <c r="A10" s="52"/>
      <c r="B10" s="131" t="s">
        <v>14</v>
      </c>
      <c r="C10" s="132"/>
      <c r="D10" s="132"/>
      <c r="E10" s="34" t="s">
        <v>16</v>
      </c>
      <c r="F10" s="132" t="s">
        <v>18</v>
      </c>
      <c r="G10" s="132"/>
      <c r="H10" s="133"/>
      <c r="I10" s="53"/>
    </row>
    <row r="11" spans="1:11" customFormat="1" ht="30" customHeight="1" x14ac:dyDescent="0.3">
      <c r="A11" s="52"/>
      <c r="B11" s="65">
        <v>1200021949</v>
      </c>
      <c r="C11" s="66"/>
      <c r="D11" s="67"/>
      <c r="E11" s="42" t="s">
        <v>44</v>
      </c>
      <c r="F11" s="68" t="s">
        <v>1156</v>
      </c>
      <c r="G11" s="69"/>
      <c r="H11" s="70"/>
      <c r="I11" s="53"/>
      <c r="J11" s="47"/>
      <c r="K11" s="47"/>
    </row>
    <row r="12" spans="1:11" x14ac:dyDescent="0.3">
      <c r="A12" s="52"/>
      <c r="D12" s="56"/>
      <c r="E12" s="32" t="s">
        <v>1169</v>
      </c>
      <c r="I12" s="53"/>
    </row>
    <row r="13" spans="1:11" x14ac:dyDescent="0.3">
      <c r="A13" s="52"/>
      <c r="I13" s="53"/>
    </row>
    <row r="14" spans="1:11" x14ac:dyDescent="0.3">
      <c r="A14" s="52"/>
      <c r="B14" s="135" t="s">
        <v>19</v>
      </c>
      <c r="C14" s="135"/>
      <c r="D14" s="135"/>
      <c r="F14" s="135" t="s">
        <v>21</v>
      </c>
      <c r="G14" s="135"/>
      <c r="H14" s="135"/>
      <c r="I14" s="53"/>
    </row>
    <row r="15" spans="1:11" x14ac:dyDescent="0.3">
      <c r="A15" s="52"/>
      <c r="B15" s="136" t="s">
        <v>20</v>
      </c>
      <c r="C15" s="136"/>
      <c r="D15" s="136"/>
      <c r="F15" s="136" t="s">
        <v>22</v>
      </c>
      <c r="G15" s="136"/>
      <c r="H15" s="136"/>
      <c r="I15" s="53"/>
    </row>
    <row r="16" spans="1:11" x14ac:dyDescent="0.3">
      <c r="A16" s="52"/>
      <c r="B16" s="56"/>
      <c r="C16" s="56"/>
      <c r="D16" s="56"/>
      <c r="I16" s="53"/>
    </row>
    <row r="17" spans="1:9" x14ac:dyDescent="0.3">
      <c r="A17" s="52"/>
      <c r="B17" s="56"/>
      <c r="C17" s="56"/>
      <c r="D17" s="56"/>
      <c r="I17" s="53"/>
    </row>
    <row r="18" spans="1:9" x14ac:dyDescent="0.3">
      <c r="A18" s="52"/>
      <c r="B18" s="56"/>
      <c r="C18" s="56"/>
      <c r="D18" s="56"/>
      <c r="I18" s="53"/>
    </row>
    <row r="19" spans="1:9" ht="15" customHeight="1" x14ac:dyDescent="0.3">
      <c r="A19" s="52"/>
      <c r="B19" s="134"/>
      <c r="C19" s="134"/>
      <c r="D19" s="134"/>
      <c r="F19" s="134" t="s">
        <v>24</v>
      </c>
      <c r="G19" s="134"/>
      <c r="H19" s="134"/>
      <c r="I19" s="53"/>
    </row>
    <row r="20" spans="1:9" ht="15" thickBot="1" x14ac:dyDescent="0.35">
      <c r="A20" s="57"/>
      <c r="B20" s="28"/>
      <c r="C20" s="28"/>
      <c r="D20" s="28"/>
      <c r="E20" s="58"/>
      <c r="F20" s="59"/>
      <c r="G20" s="28"/>
      <c r="H20" s="59"/>
      <c r="I20" s="60"/>
    </row>
  </sheetData>
  <autoFilter ref="B10:K11" xr:uid="{00000000-0009-0000-0000-000001000000}">
    <filterColumn colId="0" showButton="0"/>
    <filterColumn colId="1" showButton="0"/>
    <filterColumn colId="4" showButton="0"/>
    <filterColumn colId="5" showButton="0"/>
  </autoFilter>
  <mergeCells count="12">
    <mergeCell ref="B14:D14"/>
    <mergeCell ref="F14:H14"/>
    <mergeCell ref="B15:D15"/>
    <mergeCell ref="F15:H15"/>
    <mergeCell ref="B19:D19"/>
    <mergeCell ref="F19:H19"/>
    <mergeCell ref="A5:I5"/>
    <mergeCell ref="A6:I6"/>
    <mergeCell ref="B9:D9"/>
    <mergeCell ref="F9:H9"/>
    <mergeCell ref="B10:D10"/>
    <mergeCell ref="F10:H10"/>
  </mergeCells>
  <conditionalFormatting sqref="E11">
    <cfRule type="duplicateValues" dxfId="4" priority="74"/>
  </conditionalFormatting>
  <printOptions horizontalCentered="1" verticalCentered="1"/>
  <pageMargins left="0.2" right="0.2" top="0.25" bottom="0.25" header="0.3" footer="0.3"/>
  <pageSetup paperSize="11" scale="21"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BDE72-7A13-4132-8665-046549C2D947}">
  <sheetPr codeName="Sheet6">
    <pageSetUpPr fitToPage="1"/>
  </sheetPr>
  <dimension ref="A1:M20"/>
  <sheetViews>
    <sheetView showGridLines="0" zoomScaleNormal="100" workbookViewId="0">
      <selection activeCell="A2" sqref="A2:A3"/>
    </sheetView>
  </sheetViews>
  <sheetFormatPr defaultColWidth="9" defaultRowHeight="14.4" x14ac:dyDescent="0.3"/>
  <cols>
    <col min="1" max="1" width="3.6640625" style="47" customWidth="1"/>
    <col min="2" max="4" width="9" style="47"/>
    <col min="5" max="5" width="41.109375" style="49" customWidth="1"/>
    <col min="6" max="8" width="9" style="47"/>
    <col min="9" max="9" width="4.33203125" style="47" customWidth="1"/>
    <col min="10" max="11" width="9" style="47"/>
    <col min="14" max="16384" width="9" style="47"/>
  </cols>
  <sheetData>
    <row r="1" spans="1:11" x14ac:dyDescent="0.3">
      <c r="A1" s="43"/>
      <c r="B1" s="44"/>
      <c r="C1" s="44"/>
      <c r="D1" s="44"/>
      <c r="E1" s="45"/>
      <c r="F1" s="44"/>
      <c r="G1" s="44"/>
      <c r="H1" s="44"/>
      <c r="I1" s="46"/>
    </row>
    <row r="2" spans="1:11" ht="15.6" x14ac:dyDescent="0.3">
      <c r="A2" s="48" t="s">
        <v>1173</v>
      </c>
      <c r="I2" s="29" t="s">
        <v>28</v>
      </c>
    </row>
    <row r="3" spans="1:11" ht="16.2" x14ac:dyDescent="0.3">
      <c r="A3" s="50" t="s">
        <v>1174</v>
      </c>
      <c r="I3" s="51" t="s">
        <v>10</v>
      </c>
    </row>
    <row r="4" spans="1:11" x14ac:dyDescent="0.3">
      <c r="A4" s="52"/>
      <c r="I4" s="53"/>
    </row>
    <row r="5" spans="1:11" ht="17.399999999999999" x14ac:dyDescent="0.3">
      <c r="A5" s="124" t="s">
        <v>11</v>
      </c>
      <c r="B5" s="125"/>
      <c r="C5" s="125"/>
      <c r="D5" s="125"/>
      <c r="E5" s="125"/>
      <c r="F5" s="125"/>
      <c r="G5" s="125"/>
      <c r="H5" s="125"/>
      <c r="I5" s="126"/>
    </row>
    <row r="6" spans="1:11" ht="16.2" x14ac:dyDescent="0.3">
      <c r="A6" s="127" t="s">
        <v>12</v>
      </c>
      <c r="B6" s="120"/>
      <c r="C6" s="120"/>
      <c r="D6" s="120"/>
      <c r="E6" s="120"/>
      <c r="F6" s="120"/>
      <c r="G6" s="120"/>
      <c r="H6" s="120"/>
      <c r="I6" s="121"/>
    </row>
    <row r="7" spans="1:11" ht="15.6" x14ac:dyDescent="0.3">
      <c r="A7" s="52"/>
      <c r="F7" s="54"/>
      <c r="G7" s="54"/>
      <c r="H7" s="54"/>
      <c r="I7" s="55" t="s">
        <v>1155</v>
      </c>
    </row>
    <row r="8" spans="1:11" ht="15.6" x14ac:dyDescent="0.3">
      <c r="A8" s="52"/>
      <c r="I8" s="55"/>
    </row>
    <row r="9" spans="1:11" x14ac:dyDescent="0.3">
      <c r="A9" s="52"/>
      <c r="B9" s="128" t="s">
        <v>13</v>
      </c>
      <c r="C9" s="129"/>
      <c r="D9" s="129"/>
      <c r="E9" s="33" t="s">
        <v>15</v>
      </c>
      <c r="F9" s="129" t="s">
        <v>17</v>
      </c>
      <c r="G9" s="129"/>
      <c r="H9" s="130"/>
      <c r="I9" s="53"/>
    </row>
    <row r="10" spans="1:11" x14ac:dyDescent="0.3">
      <c r="A10" s="52"/>
      <c r="B10" s="131" t="s">
        <v>14</v>
      </c>
      <c r="C10" s="132"/>
      <c r="D10" s="132"/>
      <c r="E10" s="34" t="s">
        <v>16</v>
      </c>
      <c r="F10" s="132" t="s">
        <v>18</v>
      </c>
      <c r="G10" s="132"/>
      <c r="H10" s="133"/>
      <c r="I10" s="53"/>
    </row>
    <row r="11" spans="1:11" customFormat="1" ht="30" customHeight="1" x14ac:dyDescent="0.3">
      <c r="A11" s="52"/>
      <c r="B11" s="65">
        <v>1200021949</v>
      </c>
      <c r="C11" s="66"/>
      <c r="D11" s="67"/>
      <c r="E11" s="42" t="s">
        <v>44</v>
      </c>
      <c r="F11" s="68" t="s">
        <v>1156</v>
      </c>
      <c r="G11" s="69"/>
      <c r="H11" s="70"/>
      <c r="I11" s="53"/>
      <c r="J11" s="47"/>
      <c r="K11" s="47"/>
    </row>
    <row r="12" spans="1:11" x14ac:dyDescent="0.3">
      <c r="A12" s="52"/>
      <c r="D12" s="56"/>
      <c r="E12" s="32" t="s">
        <v>1168</v>
      </c>
      <c r="I12" s="53"/>
    </row>
    <row r="13" spans="1:11" x14ac:dyDescent="0.3">
      <c r="A13" s="52"/>
      <c r="I13" s="53"/>
    </row>
    <row r="14" spans="1:11" x14ac:dyDescent="0.3">
      <c r="A14" s="52"/>
      <c r="B14" s="135" t="s">
        <v>19</v>
      </c>
      <c r="C14" s="135"/>
      <c r="D14" s="135"/>
      <c r="F14" s="135" t="s">
        <v>21</v>
      </c>
      <c r="G14" s="135"/>
      <c r="H14" s="135"/>
      <c r="I14" s="53"/>
    </row>
    <row r="15" spans="1:11" x14ac:dyDescent="0.3">
      <c r="A15" s="52"/>
      <c r="B15" s="136" t="s">
        <v>20</v>
      </c>
      <c r="C15" s="136"/>
      <c r="D15" s="136"/>
      <c r="F15" s="136" t="s">
        <v>22</v>
      </c>
      <c r="G15" s="136"/>
      <c r="H15" s="136"/>
      <c r="I15" s="53"/>
    </row>
    <row r="16" spans="1:11" x14ac:dyDescent="0.3">
      <c r="A16" s="52"/>
      <c r="B16" s="56"/>
      <c r="C16" s="56"/>
      <c r="D16" s="56"/>
      <c r="I16" s="53"/>
    </row>
    <row r="17" spans="1:9" x14ac:dyDescent="0.3">
      <c r="A17" s="52"/>
      <c r="B17" s="56"/>
      <c r="C17" s="56"/>
      <c r="D17" s="56"/>
      <c r="I17" s="53"/>
    </row>
    <row r="18" spans="1:9" x14ac:dyDescent="0.3">
      <c r="A18" s="52"/>
      <c r="B18" s="56"/>
      <c r="C18" s="56"/>
      <c r="D18" s="56"/>
      <c r="I18" s="53"/>
    </row>
    <row r="19" spans="1:9" ht="15" customHeight="1" x14ac:dyDescent="0.3">
      <c r="A19" s="52"/>
      <c r="B19" s="134"/>
      <c r="C19" s="134"/>
      <c r="D19" s="134"/>
      <c r="F19" s="134" t="s">
        <v>24</v>
      </c>
      <c r="G19" s="134"/>
      <c r="H19" s="134"/>
      <c r="I19" s="53"/>
    </row>
    <row r="20" spans="1:9" ht="15" thickBot="1" x14ac:dyDescent="0.35">
      <c r="A20" s="57"/>
      <c r="B20" s="28"/>
      <c r="C20" s="28"/>
      <c r="D20" s="28"/>
      <c r="E20" s="58"/>
      <c r="F20" s="59"/>
      <c r="G20" s="28"/>
      <c r="H20" s="59"/>
      <c r="I20" s="60"/>
    </row>
  </sheetData>
  <autoFilter ref="B10:K11" xr:uid="{00000000-0009-0000-0000-000001000000}">
    <filterColumn colId="0" showButton="0"/>
    <filterColumn colId="1" showButton="0"/>
    <filterColumn colId="4" showButton="0"/>
    <filterColumn colId="5" showButton="0"/>
  </autoFilter>
  <mergeCells count="12">
    <mergeCell ref="A5:I5"/>
    <mergeCell ref="A6:I6"/>
    <mergeCell ref="B9:D9"/>
    <mergeCell ref="F9:H9"/>
    <mergeCell ref="B10:D10"/>
    <mergeCell ref="F10:H10"/>
    <mergeCell ref="B14:D14"/>
    <mergeCell ref="F14:H14"/>
    <mergeCell ref="B15:D15"/>
    <mergeCell ref="F15:H15"/>
    <mergeCell ref="B19:D19"/>
    <mergeCell ref="F19:H19"/>
  </mergeCells>
  <conditionalFormatting sqref="E11">
    <cfRule type="duplicateValues" dxfId="3" priority="69"/>
  </conditionalFormatting>
  <printOptions horizontalCentered="1" verticalCentered="1"/>
  <pageMargins left="0.2" right="0.2" top="0.25" bottom="0.25" header="0.3" footer="0.3"/>
  <pageSetup paperSize="11" scale="21"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228DF-3C85-400E-8527-8119C77C48AC}">
  <sheetPr codeName="Sheet5">
    <pageSetUpPr fitToPage="1"/>
  </sheetPr>
  <dimension ref="A1:M22"/>
  <sheetViews>
    <sheetView showGridLines="0" zoomScaleNormal="100" workbookViewId="0">
      <selection activeCell="A2" sqref="A2:A3"/>
    </sheetView>
  </sheetViews>
  <sheetFormatPr defaultColWidth="9" defaultRowHeight="14.4" x14ac:dyDescent="0.3"/>
  <cols>
    <col min="1" max="1" width="3.6640625" style="47" customWidth="1"/>
    <col min="2" max="4" width="9" style="47"/>
    <col min="5" max="5" width="41.109375" style="49" customWidth="1"/>
    <col min="6" max="8" width="9" style="47"/>
    <col min="9" max="9" width="4.33203125" style="47" customWidth="1"/>
    <col min="10" max="11" width="9" style="47"/>
    <col min="14" max="16384" width="9" style="47"/>
  </cols>
  <sheetData>
    <row r="1" spans="1:11" x14ac:dyDescent="0.3">
      <c r="A1" s="43"/>
      <c r="B1" s="44"/>
      <c r="C1" s="44"/>
      <c r="D1" s="44"/>
      <c r="E1" s="45"/>
      <c r="F1" s="44"/>
      <c r="G1" s="44"/>
      <c r="H1" s="44"/>
      <c r="I1" s="46"/>
    </row>
    <row r="2" spans="1:11" ht="15.6" x14ac:dyDescent="0.3">
      <c r="A2" s="48" t="s">
        <v>1173</v>
      </c>
      <c r="I2" s="29" t="s">
        <v>28</v>
      </c>
    </row>
    <row r="3" spans="1:11" ht="16.2" x14ac:dyDescent="0.3">
      <c r="A3" s="50" t="s">
        <v>1174</v>
      </c>
      <c r="I3" s="51" t="s">
        <v>10</v>
      </c>
    </row>
    <row r="4" spans="1:11" x14ac:dyDescent="0.3">
      <c r="A4" s="52"/>
      <c r="I4" s="53"/>
    </row>
    <row r="5" spans="1:11" ht="17.399999999999999" x14ac:dyDescent="0.3">
      <c r="A5" s="124" t="s">
        <v>11</v>
      </c>
      <c r="B5" s="125"/>
      <c r="C5" s="125"/>
      <c r="D5" s="125"/>
      <c r="E5" s="125"/>
      <c r="F5" s="125"/>
      <c r="G5" s="125"/>
      <c r="H5" s="125"/>
      <c r="I5" s="126"/>
    </row>
    <row r="6" spans="1:11" ht="16.2" x14ac:dyDescent="0.3">
      <c r="A6" s="127" t="s">
        <v>12</v>
      </c>
      <c r="B6" s="120"/>
      <c r="C6" s="120"/>
      <c r="D6" s="120"/>
      <c r="E6" s="120"/>
      <c r="F6" s="120"/>
      <c r="G6" s="120"/>
      <c r="H6" s="120"/>
      <c r="I6" s="121"/>
    </row>
    <row r="7" spans="1:11" ht="15.6" x14ac:dyDescent="0.3">
      <c r="A7" s="52"/>
      <c r="F7" s="54"/>
      <c r="G7" s="54"/>
      <c r="H7" s="54"/>
      <c r="I7" s="55" t="s">
        <v>1155</v>
      </c>
    </row>
    <row r="8" spans="1:11" ht="15.6" x14ac:dyDescent="0.3">
      <c r="A8" s="52"/>
      <c r="I8" s="55"/>
    </row>
    <row r="9" spans="1:11" x14ac:dyDescent="0.3">
      <c r="A9" s="52"/>
      <c r="B9" s="128" t="s">
        <v>13</v>
      </c>
      <c r="C9" s="129"/>
      <c r="D9" s="129"/>
      <c r="E9" s="33" t="s">
        <v>15</v>
      </c>
      <c r="F9" s="129" t="s">
        <v>17</v>
      </c>
      <c r="G9" s="129"/>
      <c r="H9" s="130"/>
      <c r="I9" s="53"/>
    </row>
    <row r="10" spans="1:11" x14ac:dyDescent="0.3">
      <c r="A10" s="52"/>
      <c r="B10" s="131" t="s">
        <v>14</v>
      </c>
      <c r="C10" s="132"/>
      <c r="D10" s="132"/>
      <c r="E10" s="34" t="s">
        <v>16</v>
      </c>
      <c r="F10" s="132" t="s">
        <v>18</v>
      </c>
      <c r="G10" s="132"/>
      <c r="H10" s="133"/>
      <c r="I10" s="53"/>
    </row>
    <row r="11" spans="1:11" customFormat="1" ht="30" customHeight="1" x14ac:dyDescent="0.3">
      <c r="A11" s="52"/>
      <c r="B11" s="65">
        <v>1200021949</v>
      </c>
      <c r="C11" s="66"/>
      <c r="D11" s="67"/>
      <c r="E11" s="42" t="s">
        <v>44</v>
      </c>
      <c r="F11" s="68" t="s">
        <v>1156</v>
      </c>
      <c r="G11" s="69"/>
      <c r="H11" s="70"/>
      <c r="I11" s="53"/>
      <c r="J11" s="47"/>
      <c r="K11" s="47"/>
    </row>
    <row r="12" spans="1:11" customFormat="1" ht="30" customHeight="1" x14ac:dyDescent="0.3">
      <c r="A12" s="52"/>
      <c r="B12" s="65">
        <v>1200021627</v>
      </c>
      <c r="C12" s="66"/>
      <c r="D12" s="67"/>
      <c r="E12" s="42" t="s">
        <v>84</v>
      </c>
      <c r="F12" s="68" t="s">
        <v>1156</v>
      </c>
      <c r="G12" s="69"/>
      <c r="H12" s="70"/>
      <c r="I12" s="53"/>
      <c r="J12" s="47"/>
      <c r="K12" s="47"/>
    </row>
    <row r="13" spans="1:11" customFormat="1" ht="16.2" x14ac:dyDescent="0.3">
      <c r="A13" s="52"/>
      <c r="B13" s="65">
        <v>1200021790</v>
      </c>
      <c r="C13" s="66"/>
      <c r="D13" s="67"/>
      <c r="E13" s="42" t="s">
        <v>60</v>
      </c>
      <c r="F13" s="68" t="s">
        <v>1156</v>
      </c>
      <c r="G13" s="69"/>
      <c r="H13" s="70"/>
      <c r="I13" s="53"/>
      <c r="J13" s="47"/>
      <c r="K13" s="47"/>
    </row>
    <row r="14" spans="1:11" x14ac:dyDescent="0.3">
      <c r="A14" s="52"/>
      <c r="D14" s="56"/>
      <c r="E14" s="32" t="s">
        <v>1167</v>
      </c>
      <c r="I14" s="53"/>
    </row>
    <row r="15" spans="1:11" x14ac:dyDescent="0.3">
      <c r="A15" s="52"/>
      <c r="I15" s="53"/>
    </row>
    <row r="16" spans="1:11" x14ac:dyDescent="0.3">
      <c r="A16" s="52"/>
      <c r="B16" s="135" t="s">
        <v>19</v>
      </c>
      <c r="C16" s="135"/>
      <c r="D16" s="135"/>
      <c r="F16" s="135" t="s">
        <v>21</v>
      </c>
      <c r="G16" s="135"/>
      <c r="H16" s="135"/>
      <c r="I16" s="53"/>
    </row>
    <row r="17" spans="1:9" x14ac:dyDescent="0.3">
      <c r="A17" s="52"/>
      <c r="B17" s="136" t="s">
        <v>20</v>
      </c>
      <c r="C17" s="136"/>
      <c r="D17" s="136"/>
      <c r="F17" s="136" t="s">
        <v>22</v>
      </c>
      <c r="G17" s="136"/>
      <c r="H17" s="136"/>
      <c r="I17" s="53"/>
    </row>
    <row r="18" spans="1:9" x14ac:dyDescent="0.3">
      <c r="A18" s="52"/>
      <c r="B18" s="56"/>
      <c r="C18" s="56"/>
      <c r="D18" s="56"/>
      <c r="I18" s="53"/>
    </row>
    <row r="19" spans="1:9" x14ac:dyDescent="0.3">
      <c r="A19" s="52"/>
      <c r="B19" s="56"/>
      <c r="C19" s="56"/>
      <c r="D19" s="56"/>
      <c r="I19" s="53"/>
    </row>
    <row r="20" spans="1:9" x14ac:dyDescent="0.3">
      <c r="A20" s="52"/>
      <c r="B20" s="56"/>
      <c r="C20" s="56"/>
      <c r="D20" s="56"/>
      <c r="I20" s="53"/>
    </row>
    <row r="21" spans="1:9" ht="15" customHeight="1" x14ac:dyDescent="0.3">
      <c r="A21" s="52"/>
      <c r="B21" s="134"/>
      <c r="C21" s="134"/>
      <c r="D21" s="134"/>
      <c r="F21" s="134" t="s">
        <v>24</v>
      </c>
      <c r="G21" s="134"/>
      <c r="H21" s="134"/>
      <c r="I21" s="53"/>
    </row>
    <row r="22" spans="1:9" ht="15" thickBot="1" x14ac:dyDescent="0.35">
      <c r="A22" s="57"/>
      <c r="B22" s="28"/>
      <c r="C22" s="28"/>
      <c r="D22" s="28"/>
      <c r="E22" s="58"/>
      <c r="F22" s="59"/>
      <c r="G22" s="28"/>
      <c r="H22" s="59"/>
      <c r="I22" s="60"/>
    </row>
  </sheetData>
  <autoFilter ref="B10:K13" xr:uid="{00000000-0009-0000-0000-000001000000}">
    <filterColumn colId="0" showButton="0"/>
    <filterColumn colId="1" showButton="0"/>
    <filterColumn colId="4" showButton="0"/>
    <filterColumn colId="5" showButton="0"/>
  </autoFilter>
  <mergeCells count="12">
    <mergeCell ref="B16:D16"/>
    <mergeCell ref="F16:H16"/>
    <mergeCell ref="B17:D17"/>
    <mergeCell ref="F17:H17"/>
    <mergeCell ref="B21:D21"/>
    <mergeCell ref="F21:H21"/>
    <mergeCell ref="A5:I5"/>
    <mergeCell ref="A6:I6"/>
    <mergeCell ref="B9:D9"/>
    <mergeCell ref="F9:H9"/>
    <mergeCell ref="B10:D10"/>
    <mergeCell ref="F10:H10"/>
  </mergeCells>
  <conditionalFormatting sqref="E11:E13">
    <cfRule type="duplicateValues" dxfId="2" priority="64"/>
  </conditionalFormatting>
  <printOptions horizontalCentered="1" verticalCentered="1"/>
  <pageMargins left="0.2" right="0.2" top="0.25" bottom="0.25" header="0.3" footer="0.3"/>
  <pageSetup paperSize="11" scale="21"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905C3-CBBD-4D99-BD6C-69A4456AEC03}">
  <sheetPr codeName="Sheet4">
    <pageSetUpPr fitToPage="1"/>
  </sheetPr>
  <dimension ref="A1:M21"/>
  <sheetViews>
    <sheetView showGridLines="0" zoomScaleNormal="100" workbookViewId="0">
      <selection activeCell="A2" sqref="A2:A3"/>
    </sheetView>
  </sheetViews>
  <sheetFormatPr defaultColWidth="9" defaultRowHeight="14.4" x14ac:dyDescent="0.3"/>
  <cols>
    <col min="1" max="1" width="3.6640625" style="47" customWidth="1"/>
    <col min="2" max="4" width="9" style="47"/>
    <col min="5" max="5" width="41.109375" style="49" customWidth="1"/>
    <col min="6" max="8" width="9" style="47"/>
    <col min="9" max="9" width="4.33203125" style="47" customWidth="1"/>
    <col min="10" max="11" width="9" style="47"/>
    <col min="14" max="16384" width="9" style="47"/>
  </cols>
  <sheetData>
    <row r="1" spans="1:9" x14ac:dyDescent="0.3">
      <c r="A1" s="43"/>
      <c r="B1" s="44"/>
      <c r="C1" s="44"/>
      <c r="D1" s="44"/>
      <c r="E1" s="45"/>
      <c r="F1" s="44"/>
      <c r="G1" s="44"/>
      <c r="H1" s="44"/>
      <c r="I1" s="46"/>
    </row>
    <row r="2" spans="1:9" ht="15.6" x14ac:dyDescent="0.3">
      <c r="A2" s="48" t="s">
        <v>1173</v>
      </c>
      <c r="I2" s="29" t="s">
        <v>28</v>
      </c>
    </row>
    <row r="3" spans="1:9" ht="16.2" x14ac:dyDescent="0.3">
      <c r="A3" s="50" t="s">
        <v>1174</v>
      </c>
      <c r="I3" s="51" t="s">
        <v>10</v>
      </c>
    </row>
    <row r="4" spans="1:9" x14ac:dyDescent="0.3">
      <c r="A4" s="52"/>
      <c r="I4" s="53"/>
    </row>
    <row r="5" spans="1:9" ht="17.399999999999999" x14ac:dyDescent="0.3">
      <c r="A5" s="124" t="s">
        <v>11</v>
      </c>
      <c r="B5" s="125"/>
      <c r="C5" s="125"/>
      <c r="D5" s="125"/>
      <c r="E5" s="125"/>
      <c r="F5" s="125"/>
      <c r="G5" s="125"/>
      <c r="H5" s="125"/>
      <c r="I5" s="126"/>
    </row>
    <row r="6" spans="1:9" ht="16.2" x14ac:dyDescent="0.3">
      <c r="A6" s="127" t="s">
        <v>12</v>
      </c>
      <c r="B6" s="120"/>
      <c r="C6" s="120"/>
      <c r="D6" s="120"/>
      <c r="E6" s="120"/>
      <c r="F6" s="120"/>
      <c r="G6" s="120"/>
      <c r="H6" s="120"/>
      <c r="I6" s="121"/>
    </row>
    <row r="7" spans="1:9" ht="15.6" x14ac:dyDescent="0.3">
      <c r="A7" s="52"/>
      <c r="F7" s="54"/>
      <c r="G7" s="54"/>
      <c r="H7" s="54"/>
      <c r="I7" s="55" t="s">
        <v>1155</v>
      </c>
    </row>
    <row r="8" spans="1:9" ht="15.6" x14ac:dyDescent="0.3">
      <c r="A8" s="52"/>
      <c r="I8" s="55"/>
    </row>
    <row r="9" spans="1:9" x14ac:dyDescent="0.3">
      <c r="A9" s="52"/>
      <c r="B9" s="128" t="s">
        <v>13</v>
      </c>
      <c r="C9" s="129"/>
      <c r="D9" s="129"/>
      <c r="E9" s="33" t="s">
        <v>15</v>
      </c>
      <c r="F9" s="129" t="s">
        <v>17</v>
      </c>
      <c r="G9" s="129"/>
      <c r="H9" s="130"/>
      <c r="I9" s="53"/>
    </row>
    <row r="10" spans="1:9" x14ac:dyDescent="0.3">
      <c r="A10" s="52"/>
      <c r="B10" s="131" t="s">
        <v>14</v>
      </c>
      <c r="C10" s="132"/>
      <c r="D10" s="132"/>
      <c r="E10" s="34" t="s">
        <v>16</v>
      </c>
      <c r="F10" s="132" t="s">
        <v>18</v>
      </c>
      <c r="G10" s="132"/>
      <c r="H10" s="133"/>
      <c r="I10" s="53"/>
    </row>
    <row r="11" spans="1:9" ht="30" customHeight="1" x14ac:dyDescent="0.3">
      <c r="A11" s="52"/>
      <c r="B11" s="65" t="s">
        <v>107</v>
      </c>
      <c r="C11" s="66"/>
      <c r="D11" s="67"/>
      <c r="E11" s="42" t="s">
        <v>108</v>
      </c>
      <c r="F11" s="68" t="s">
        <v>1156</v>
      </c>
      <c r="G11" s="69"/>
      <c r="H11" s="70"/>
      <c r="I11" s="53"/>
    </row>
    <row r="12" spans="1:9" ht="30" customHeight="1" x14ac:dyDescent="0.3">
      <c r="A12" s="52"/>
      <c r="B12" s="65" t="s">
        <v>193</v>
      </c>
      <c r="C12" s="66"/>
      <c r="D12" s="67"/>
      <c r="E12" s="42" t="s">
        <v>195</v>
      </c>
      <c r="F12" s="68" t="s">
        <v>1156</v>
      </c>
      <c r="G12" s="69"/>
      <c r="H12" s="70"/>
      <c r="I12" s="53"/>
    </row>
    <row r="13" spans="1:9" x14ac:dyDescent="0.3">
      <c r="A13" s="52"/>
      <c r="D13" s="56"/>
      <c r="E13" s="32" t="s">
        <v>1158</v>
      </c>
      <c r="I13" s="53"/>
    </row>
    <row r="14" spans="1:9" x14ac:dyDescent="0.3">
      <c r="A14" s="52"/>
      <c r="I14" s="53"/>
    </row>
    <row r="15" spans="1:9" x14ac:dyDescent="0.3">
      <c r="A15" s="52"/>
      <c r="B15" s="135" t="s">
        <v>19</v>
      </c>
      <c r="C15" s="135"/>
      <c r="D15" s="135"/>
      <c r="F15" s="135" t="s">
        <v>21</v>
      </c>
      <c r="G15" s="135"/>
      <c r="H15" s="135"/>
      <c r="I15" s="53"/>
    </row>
    <row r="16" spans="1:9" x14ac:dyDescent="0.3">
      <c r="A16" s="52"/>
      <c r="B16" s="136" t="s">
        <v>20</v>
      </c>
      <c r="C16" s="136"/>
      <c r="D16" s="136"/>
      <c r="F16" s="136" t="s">
        <v>22</v>
      </c>
      <c r="G16" s="136"/>
      <c r="H16" s="136"/>
      <c r="I16" s="53"/>
    </row>
    <row r="17" spans="1:9" x14ac:dyDescent="0.3">
      <c r="A17" s="52"/>
      <c r="B17" s="56"/>
      <c r="C17" s="56"/>
      <c r="D17" s="56"/>
      <c r="I17" s="53"/>
    </row>
    <row r="18" spans="1:9" x14ac:dyDescent="0.3">
      <c r="A18" s="52"/>
      <c r="B18" s="56"/>
      <c r="C18" s="56"/>
      <c r="D18" s="56"/>
      <c r="I18" s="53"/>
    </row>
    <row r="19" spans="1:9" x14ac:dyDescent="0.3">
      <c r="A19" s="52"/>
      <c r="B19" s="56"/>
      <c r="C19" s="56"/>
      <c r="D19" s="56"/>
      <c r="I19" s="53"/>
    </row>
    <row r="20" spans="1:9" ht="15" customHeight="1" x14ac:dyDescent="0.3">
      <c r="A20" s="52"/>
      <c r="B20" s="134"/>
      <c r="C20" s="134"/>
      <c r="D20" s="134"/>
      <c r="F20" s="134" t="s">
        <v>24</v>
      </c>
      <c r="G20" s="134"/>
      <c r="H20" s="134"/>
      <c r="I20" s="53"/>
    </row>
    <row r="21" spans="1:9" ht="15" thickBot="1" x14ac:dyDescent="0.35">
      <c r="A21" s="57"/>
      <c r="B21" s="28"/>
      <c r="C21" s="28"/>
      <c r="D21" s="28"/>
      <c r="E21" s="58"/>
      <c r="F21" s="59"/>
      <c r="G21" s="28"/>
      <c r="H21" s="59"/>
      <c r="I21" s="60"/>
    </row>
  </sheetData>
  <autoFilter ref="B10:K12" xr:uid="{00000000-0009-0000-0000-000001000000}">
    <filterColumn colId="0" showButton="0"/>
    <filterColumn colId="1" showButton="0"/>
    <filterColumn colId="4" showButton="0"/>
    <filterColumn colId="5" showButton="0"/>
  </autoFilter>
  <mergeCells count="12">
    <mergeCell ref="A5:I5"/>
    <mergeCell ref="A6:I6"/>
    <mergeCell ref="B9:D9"/>
    <mergeCell ref="F9:H9"/>
    <mergeCell ref="B10:D10"/>
    <mergeCell ref="F10:H10"/>
    <mergeCell ref="B15:D15"/>
    <mergeCell ref="F15:H15"/>
    <mergeCell ref="B16:D16"/>
    <mergeCell ref="F16:H16"/>
    <mergeCell ref="B20:D20"/>
    <mergeCell ref="F20:H20"/>
  </mergeCells>
  <conditionalFormatting sqref="E11:E12">
    <cfRule type="duplicateValues" dxfId="1" priority="59"/>
  </conditionalFormatting>
  <printOptions horizontalCentered="1" verticalCentered="1"/>
  <pageMargins left="0.2" right="0.2" top="0.25" bottom="0.25" header="0.3" footer="0.3"/>
  <pageSetup paperSize="11" scale="21"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F4F6D-7DB5-46E6-A229-5A1E4EAD182D}">
  <sheetPr codeName="Sheet3">
    <pageSetUpPr fitToPage="1"/>
  </sheetPr>
  <dimension ref="A1:O39"/>
  <sheetViews>
    <sheetView showGridLines="0" zoomScaleNormal="100" workbookViewId="0">
      <selection activeCell="I11" sqref="I11"/>
    </sheetView>
  </sheetViews>
  <sheetFormatPr defaultColWidth="9" defaultRowHeight="14.4" x14ac:dyDescent="0.3"/>
  <cols>
    <col min="1" max="1" width="3.6640625" style="47" customWidth="1"/>
    <col min="2" max="4" width="9" style="47"/>
    <col min="5" max="5" width="41.109375" style="49" customWidth="1"/>
    <col min="6" max="8" width="9" style="47"/>
    <col min="9" max="9" width="4.33203125" style="47" customWidth="1"/>
    <col min="10" max="11" width="9" style="47"/>
    <col min="14" max="16384" width="9" style="47"/>
  </cols>
  <sheetData>
    <row r="1" spans="1:15" x14ac:dyDescent="0.3">
      <c r="A1" s="43"/>
      <c r="B1" s="44"/>
      <c r="C1" s="44"/>
      <c r="D1" s="44"/>
      <c r="E1" s="45"/>
      <c r="F1" s="44"/>
      <c r="G1" s="44"/>
      <c r="H1" s="44"/>
      <c r="I1" s="46"/>
    </row>
    <row r="2" spans="1:15" ht="15.6" x14ac:dyDescent="0.3">
      <c r="A2" s="48" t="s">
        <v>1173</v>
      </c>
      <c r="I2" s="29" t="s">
        <v>28</v>
      </c>
    </row>
    <row r="3" spans="1:15" ht="16.2" x14ac:dyDescent="0.3">
      <c r="A3" s="50" t="s">
        <v>1174</v>
      </c>
      <c r="I3" s="51" t="s">
        <v>10</v>
      </c>
    </row>
    <row r="4" spans="1:15" x14ac:dyDescent="0.3">
      <c r="A4" s="52"/>
      <c r="I4" s="53"/>
    </row>
    <row r="5" spans="1:15" ht="17.399999999999999" x14ac:dyDescent="0.3">
      <c r="A5" s="124" t="s">
        <v>11</v>
      </c>
      <c r="B5" s="125"/>
      <c r="C5" s="125"/>
      <c r="D5" s="125"/>
      <c r="E5" s="125"/>
      <c r="F5" s="125"/>
      <c r="G5" s="125"/>
      <c r="H5" s="125"/>
      <c r="I5" s="126"/>
    </row>
    <row r="6" spans="1:15" ht="16.2" x14ac:dyDescent="0.3">
      <c r="A6" s="127" t="s">
        <v>12</v>
      </c>
      <c r="B6" s="120"/>
      <c r="C6" s="120"/>
      <c r="D6" s="120"/>
      <c r="E6" s="120"/>
      <c r="F6" s="120"/>
      <c r="G6" s="120"/>
      <c r="H6" s="120"/>
      <c r="I6" s="121"/>
    </row>
    <row r="7" spans="1:15" ht="15.6" x14ac:dyDescent="0.3">
      <c r="A7" s="52"/>
      <c r="F7" s="54"/>
      <c r="G7" s="54"/>
      <c r="H7" s="54"/>
      <c r="I7" s="55" t="s">
        <v>1155</v>
      </c>
    </row>
    <row r="8" spans="1:15" ht="15.6" x14ac:dyDescent="0.3">
      <c r="A8" s="52"/>
      <c r="I8" s="55"/>
    </row>
    <row r="9" spans="1:15" x14ac:dyDescent="0.3">
      <c r="A9" s="52"/>
      <c r="B9" s="128" t="s">
        <v>13</v>
      </c>
      <c r="C9" s="129"/>
      <c r="D9" s="129"/>
      <c r="E9" s="33" t="s">
        <v>15</v>
      </c>
      <c r="F9" s="129" t="s">
        <v>17</v>
      </c>
      <c r="G9" s="129"/>
      <c r="H9" s="130"/>
      <c r="I9" s="53"/>
    </row>
    <row r="10" spans="1:15" x14ac:dyDescent="0.3">
      <c r="A10" s="52"/>
      <c r="B10" s="131" t="s">
        <v>14</v>
      </c>
      <c r="C10" s="132"/>
      <c r="D10" s="132"/>
      <c r="E10" s="34" t="s">
        <v>16</v>
      </c>
      <c r="F10" s="132" t="s">
        <v>18</v>
      </c>
      <c r="G10" s="132"/>
      <c r="H10" s="133"/>
      <c r="I10" s="53"/>
      <c r="L10" s="111"/>
      <c r="M10" s="112"/>
      <c r="N10" s="111"/>
      <c r="O10" s="112"/>
    </row>
    <row r="11" spans="1:15" ht="30" customHeight="1" x14ac:dyDescent="0.3">
      <c r="A11" s="52"/>
      <c r="B11" s="65" t="s">
        <v>107</v>
      </c>
      <c r="C11" s="66"/>
      <c r="D11" s="67"/>
      <c r="E11" s="42" t="s">
        <v>108</v>
      </c>
      <c r="F11" s="68" t="s">
        <v>1156</v>
      </c>
      <c r="G11" s="69"/>
      <c r="H11" s="70"/>
      <c r="I11" s="53"/>
      <c r="L11" s="111"/>
      <c r="M11" s="112"/>
      <c r="N11" s="111"/>
      <c r="O11" s="112"/>
    </row>
    <row r="12" spans="1:15" ht="30" customHeight="1" x14ac:dyDescent="0.3">
      <c r="A12" s="52"/>
      <c r="B12" s="65" t="s">
        <v>193</v>
      </c>
      <c r="C12" s="66"/>
      <c r="D12" s="67"/>
      <c r="E12" s="42" t="s">
        <v>195</v>
      </c>
      <c r="F12" s="68" t="s">
        <v>1156</v>
      </c>
      <c r="G12" s="69"/>
      <c r="H12" s="70"/>
      <c r="I12" s="53"/>
      <c r="L12" s="111"/>
      <c r="M12" s="112"/>
      <c r="N12" s="111"/>
      <c r="O12" s="112"/>
    </row>
    <row r="13" spans="1:15" x14ac:dyDescent="0.3">
      <c r="A13" s="52"/>
      <c r="D13" s="56"/>
      <c r="E13" s="32" t="s">
        <v>1157</v>
      </c>
      <c r="I13" s="53"/>
      <c r="L13" s="111"/>
      <c r="M13" s="112"/>
      <c r="N13" s="111"/>
      <c r="O13" s="112"/>
    </row>
    <row r="14" spans="1:15" x14ac:dyDescent="0.3">
      <c r="A14" s="52"/>
      <c r="I14" s="53"/>
      <c r="L14" s="111"/>
      <c r="M14" s="112"/>
      <c r="N14" s="111"/>
      <c r="O14" s="112"/>
    </row>
    <row r="15" spans="1:15" x14ac:dyDescent="0.3">
      <c r="A15" s="52"/>
      <c r="B15" s="135" t="s">
        <v>19</v>
      </c>
      <c r="C15" s="135"/>
      <c r="D15" s="135"/>
      <c r="F15" s="135" t="s">
        <v>21</v>
      </c>
      <c r="G15" s="135"/>
      <c r="H15" s="135"/>
      <c r="I15" s="53"/>
      <c r="L15" s="111"/>
      <c r="M15" s="112"/>
      <c r="N15" s="111"/>
      <c r="O15" s="112"/>
    </row>
    <row r="16" spans="1:15" x14ac:dyDescent="0.3">
      <c r="A16" s="52"/>
      <c r="B16" s="136" t="s">
        <v>20</v>
      </c>
      <c r="C16" s="136"/>
      <c r="D16" s="136"/>
      <c r="F16" s="136" t="s">
        <v>22</v>
      </c>
      <c r="G16" s="136"/>
      <c r="H16" s="136"/>
      <c r="I16" s="53"/>
      <c r="L16" s="111"/>
      <c r="M16" s="112"/>
      <c r="N16" s="111"/>
      <c r="O16" s="112"/>
    </row>
    <row r="17" spans="1:15" x14ac:dyDescent="0.3">
      <c r="A17" s="52"/>
      <c r="B17" s="56"/>
      <c r="C17" s="56"/>
      <c r="D17" s="56"/>
      <c r="I17" s="53"/>
      <c r="L17" s="111"/>
      <c r="M17" s="112"/>
      <c r="N17" s="111"/>
      <c r="O17" s="112"/>
    </row>
    <row r="18" spans="1:15" x14ac:dyDescent="0.3">
      <c r="A18" s="52"/>
      <c r="B18" s="56"/>
      <c r="C18" s="56"/>
      <c r="D18" s="56"/>
      <c r="I18" s="53"/>
      <c r="L18" s="111"/>
      <c r="M18" s="112"/>
      <c r="N18" s="111"/>
      <c r="O18" s="112"/>
    </row>
    <row r="19" spans="1:15" x14ac:dyDescent="0.3">
      <c r="A19" s="52"/>
      <c r="B19" s="56"/>
      <c r="C19" s="56"/>
      <c r="D19" s="56"/>
      <c r="I19" s="53"/>
      <c r="L19" s="111"/>
      <c r="M19" s="112"/>
      <c r="N19" s="111"/>
      <c r="O19" s="112"/>
    </row>
    <row r="20" spans="1:15" ht="15" customHeight="1" x14ac:dyDescent="0.3">
      <c r="A20" s="52"/>
      <c r="B20" s="134"/>
      <c r="C20" s="134"/>
      <c r="D20" s="134"/>
      <c r="F20" s="134" t="s">
        <v>24</v>
      </c>
      <c r="G20" s="134"/>
      <c r="H20" s="134"/>
      <c r="I20" s="53"/>
      <c r="L20" s="111"/>
      <c r="M20" s="112"/>
      <c r="N20" s="111"/>
      <c r="O20" s="112"/>
    </row>
    <row r="21" spans="1:15" ht="15" thickBot="1" x14ac:dyDescent="0.35">
      <c r="A21" s="57"/>
      <c r="B21" s="28"/>
      <c r="C21" s="28"/>
      <c r="D21" s="28"/>
      <c r="E21" s="58"/>
      <c r="F21" s="59"/>
      <c r="G21" s="28"/>
      <c r="H21" s="59"/>
      <c r="I21" s="60"/>
      <c r="L21" s="111"/>
      <c r="M21" s="112"/>
      <c r="N21" s="111"/>
      <c r="O21" s="112"/>
    </row>
    <row r="22" spans="1:15" x14ac:dyDescent="0.3">
      <c r="L22" s="111"/>
      <c r="M22" s="112"/>
      <c r="N22" s="111"/>
      <c r="O22" s="112"/>
    </row>
    <row r="23" spans="1:15" x14ac:dyDescent="0.3">
      <c r="L23" s="111"/>
      <c r="M23" s="112"/>
      <c r="N23" s="111"/>
      <c r="O23" s="112"/>
    </row>
    <row r="24" spans="1:15" x14ac:dyDescent="0.3">
      <c r="L24" s="111"/>
      <c r="M24" s="112"/>
      <c r="N24" s="111"/>
      <c r="O24" s="112"/>
    </row>
    <row r="25" spans="1:15" x14ac:dyDescent="0.3">
      <c r="L25" s="111"/>
      <c r="M25" s="112"/>
      <c r="N25" s="111"/>
      <c r="O25" s="112"/>
    </row>
    <row r="26" spans="1:15" x14ac:dyDescent="0.3">
      <c r="L26" s="111"/>
      <c r="M26" s="112"/>
      <c r="N26" s="111"/>
      <c r="O26" s="112"/>
    </row>
    <row r="27" spans="1:15" x14ac:dyDescent="0.3">
      <c r="L27" s="111"/>
      <c r="M27" s="112"/>
      <c r="N27" s="111"/>
      <c r="O27" s="112"/>
    </row>
    <row r="28" spans="1:15" x14ac:dyDescent="0.3">
      <c r="L28" s="111"/>
      <c r="M28" s="112"/>
      <c r="N28" s="111"/>
      <c r="O28" s="112"/>
    </row>
    <row r="29" spans="1:15" x14ac:dyDescent="0.3">
      <c r="L29" s="111"/>
      <c r="M29" s="112"/>
      <c r="N29" s="111"/>
      <c r="O29" s="112"/>
    </row>
    <row r="30" spans="1:15" x14ac:dyDescent="0.3">
      <c r="L30" s="111"/>
      <c r="M30" s="112"/>
      <c r="N30" s="111"/>
      <c r="O30" s="112"/>
    </row>
    <row r="31" spans="1:15" x14ac:dyDescent="0.3">
      <c r="L31" s="111"/>
      <c r="M31" s="112"/>
      <c r="N31" s="111"/>
      <c r="O31" s="112"/>
    </row>
    <row r="32" spans="1:15" x14ac:dyDescent="0.3">
      <c r="L32" s="111"/>
      <c r="M32" s="112"/>
      <c r="N32" s="111"/>
      <c r="O32" s="112"/>
    </row>
    <row r="33" spans="12:15" x14ac:dyDescent="0.3">
      <c r="L33" s="111"/>
      <c r="M33" s="112"/>
      <c r="N33" s="111"/>
      <c r="O33" s="112"/>
    </row>
    <row r="34" spans="12:15" x14ac:dyDescent="0.3">
      <c r="L34" s="111"/>
      <c r="M34" s="112"/>
      <c r="N34" s="111"/>
      <c r="O34" s="112"/>
    </row>
    <row r="35" spans="12:15" x14ac:dyDescent="0.3">
      <c r="L35" s="111"/>
      <c r="M35" s="112"/>
      <c r="N35" s="111"/>
      <c r="O35" s="112"/>
    </row>
    <row r="36" spans="12:15" x14ac:dyDescent="0.3">
      <c r="L36" s="111"/>
      <c r="M36" s="112"/>
      <c r="N36" s="111"/>
      <c r="O36" s="112"/>
    </row>
    <row r="37" spans="12:15" x14ac:dyDescent="0.3">
      <c r="L37" s="111"/>
      <c r="M37" s="112"/>
      <c r="N37" s="111"/>
      <c r="O37" s="112"/>
    </row>
    <row r="38" spans="12:15" x14ac:dyDescent="0.3">
      <c r="L38" s="111"/>
      <c r="M38" s="112"/>
      <c r="N38" s="111"/>
      <c r="O38" s="112"/>
    </row>
    <row r="39" spans="12:15" x14ac:dyDescent="0.3">
      <c r="L39" s="111"/>
      <c r="M39" s="112"/>
      <c r="N39" s="111"/>
      <c r="O39" s="112"/>
    </row>
  </sheetData>
  <autoFilter ref="B10:K12" xr:uid="{00000000-0009-0000-0000-000001000000}">
    <filterColumn colId="0" showButton="0"/>
    <filterColumn colId="1" showButton="0"/>
    <filterColumn colId="4" showButton="0"/>
    <filterColumn colId="5" showButton="0"/>
  </autoFilter>
  <mergeCells count="12">
    <mergeCell ref="B15:D15"/>
    <mergeCell ref="F15:H15"/>
    <mergeCell ref="B16:D16"/>
    <mergeCell ref="F16:H16"/>
    <mergeCell ref="B20:D20"/>
    <mergeCell ref="F20:H20"/>
    <mergeCell ref="A5:I5"/>
    <mergeCell ref="A6:I6"/>
    <mergeCell ref="B9:D9"/>
    <mergeCell ref="F9:H9"/>
    <mergeCell ref="B10:D10"/>
    <mergeCell ref="F10:H10"/>
  </mergeCells>
  <conditionalFormatting sqref="E11:E12">
    <cfRule type="duplicateValues" dxfId="0" priority="54"/>
  </conditionalFormatting>
  <printOptions horizontalCentered="1" verticalCentered="1"/>
  <pageMargins left="0.2" right="0.2" top="0.25" bottom="0.25" header="0.3" footer="0.3"/>
  <pageSetup paperSize="11" scale="97"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9801DBC-786A-4B5A-9AC2-4BF3A4F09F64}">
  <ds:schemaRefs>
    <ds:schemaRef ds:uri="http://schemas.microsoft.com/DataMashup"/>
  </ds:schemaRefs>
</ds:datastoreItem>
</file>

<file path=docMetadata/LabelInfo.xml><?xml version="1.0" encoding="utf-8"?>
<clbl:labelList xmlns:clbl="http://schemas.microsoft.com/office/2020/mipLabelMetadata">
  <clbl:label id="{47a781a4-9e27-4dd2-ba94-b88d1f4aff44}" enabled="1" method="Standard" siteId="{a460c4a8-a333-4afc-a7ec-2ca139ee035c}"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Danh sach</vt:lpstr>
      <vt:lpstr>Mau</vt:lpstr>
      <vt:lpstr>Mau Thang</vt:lpstr>
      <vt:lpstr>Data</vt:lpstr>
      <vt:lpstr>12.09</vt:lpstr>
      <vt:lpstr>11.09</vt:lpstr>
      <vt:lpstr>10.09</vt:lpstr>
      <vt:lpstr>06.09</vt:lpstr>
      <vt:lpstr>05.09</vt:lpstr>
      <vt:lpstr>04.09</vt:lpstr>
      <vt:lpstr>Customer</vt:lpstr>
      <vt:lpstr>'Mau Thang'!Print_Area</vt:lpstr>
      <vt:lpstr>'04.09'!Print_Titles</vt:lpstr>
      <vt:lpstr>'05.09'!Print_Titles</vt:lpstr>
      <vt:lpstr>'06.09'!Print_Titles</vt:lpstr>
      <vt:lpstr>'10.09'!Print_Titles</vt:lpstr>
      <vt:lpstr>'11.09'!Print_Titles</vt:lpstr>
      <vt:lpstr>'12.09'!Print_Titles</vt:lpstr>
      <vt:lpstr>Mau!Print_Titles</vt:lpstr>
      <vt:lpstr>'Mau Thang'!Print_Titles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Thi Anh Thu S7A</dc:creator>
  <cp:lastModifiedBy>Thăng H.</cp:lastModifiedBy>
  <cp:lastPrinted>2024-09-04T07:00:17Z</cp:lastPrinted>
  <dcterms:created xsi:type="dcterms:W3CDTF">2021-07-30T11:44:25Z</dcterms:created>
  <dcterms:modified xsi:type="dcterms:W3CDTF">2024-09-21T15:31:42Z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7a781a4-9e27-4dd2-ba94-b88d1f4aff44_Enabled">
    <vt:lpwstr>true</vt:lpwstr>
  </property>
  <property fmtid="{D5CDD505-2E9C-101B-9397-08002B2CF9AE}" pid="3" name="MSIP_Label_47a781a4-9e27-4dd2-ba94-b88d1f4aff44_SetDate">
    <vt:lpwstr>2023-09-15T06:37:55Z</vt:lpwstr>
  </property>
  <property fmtid="{D5CDD505-2E9C-101B-9397-08002B2CF9AE}" pid="4" name="MSIP_Label_47a781a4-9e27-4dd2-ba94-b88d1f4aff44_Method">
    <vt:lpwstr>Standard</vt:lpwstr>
  </property>
  <property fmtid="{D5CDD505-2E9C-101B-9397-08002B2CF9AE}" pid="5" name="MSIP_Label_47a781a4-9e27-4dd2-ba94-b88d1f4aff44_Name">
    <vt:lpwstr>Public</vt:lpwstr>
  </property>
  <property fmtid="{D5CDD505-2E9C-101B-9397-08002B2CF9AE}" pid="6" name="MSIP_Label_47a781a4-9e27-4dd2-ba94-b88d1f4aff44_SiteId">
    <vt:lpwstr>a460c4a8-a333-4afc-a7ec-2ca139ee035c</vt:lpwstr>
  </property>
  <property fmtid="{D5CDD505-2E9C-101B-9397-08002B2CF9AE}" pid="7" name="MSIP_Label_47a781a4-9e27-4dd2-ba94-b88d1f4aff44_ActionId">
    <vt:lpwstr>d0b8538e-3aff-45d0-9dec-8abd4591ab23</vt:lpwstr>
  </property>
  <property fmtid="{D5CDD505-2E9C-101B-9397-08002B2CF9AE}" pid="8" name="MSIP_Label_47a781a4-9e27-4dd2-ba94-b88d1f4aff44_ContentBits">
    <vt:lpwstr>0</vt:lpwstr>
  </property>
</Properties>
</file>